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EGHA\Downloads\"/>
    </mc:Choice>
  </mc:AlternateContent>
  <xr:revisionPtr revIDLastSave="0" documentId="13_ncr:1_{D56BB8F1-388C-470D-A440-960679566258}" xr6:coauthVersionLast="47" xr6:coauthVersionMax="47" xr10:uidLastSave="{00000000-0000-0000-0000-000000000000}"/>
  <bookViews>
    <workbookView xWindow="-108" yWindow="-108" windowWidth="23256" windowHeight="12456" tabRatio="500" activeTab="6" xr2:uid="{00000000-000D-0000-FFFF-FFFF00000000}"/>
  </bookViews>
  <sheets>
    <sheet name="Cover" sheetId="1" r:id="rId1"/>
    <sheet name="Assumptions" sheetId="2" r:id="rId2"/>
    <sheet name="Revenue Model" sheetId="3" r:id="rId3"/>
    <sheet name="P&amp;L" sheetId="4" r:id="rId4"/>
    <sheet name="Unit Economics" sheetId="5" r:id="rId5"/>
    <sheet name="Headcount" sheetId="6" r:id="rId6"/>
    <sheet name="Cash Flow" sheetId="7" r:id="rId7"/>
    <sheet name="KPI Dashboard" sheetId="8" r:id="rId8"/>
    <sheet name="Scenario Analysis" sheetId="9" r:id="rId9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7" i="8" l="1"/>
  <c r="F17" i="8"/>
  <c r="E17" i="8"/>
  <c r="D17" i="8"/>
  <c r="C17" i="8"/>
  <c r="B17" i="8"/>
  <c r="G16" i="7"/>
  <c r="F16" i="7"/>
  <c r="E16" i="7"/>
  <c r="D16" i="7"/>
  <c r="C16" i="7"/>
  <c r="B16" i="7"/>
  <c r="G18" i="6"/>
  <c r="F18" i="6"/>
  <c r="E18" i="6"/>
  <c r="D18" i="6"/>
  <c r="C18" i="6"/>
  <c r="B18" i="6"/>
  <c r="G13" i="6"/>
  <c r="F13" i="6"/>
  <c r="E13" i="6"/>
  <c r="D13" i="6"/>
  <c r="C13" i="6"/>
  <c r="B13" i="6"/>
  <c r="G8" i="6"/>
  <c r="G19" i="6" s="1"/>
  <c r="G23" i="6" s="1"/>
  <c r="F8" i="6"/>
  <c r="F19" i="6" s="1"/>
  <c r="F23" i="6" s="1"/>
  <c r="E8" i="6"/>
  <c r="E19" i="6" s="1"/>
  <c r="E23" i="6" s="1"/>
  <c r="D8" i="6"/>
  <c r="D19" i="6" s="1"/>
  <c r="D23" i="6" s="1"/>
  <c r="C8" i="6"/>
  <c r="C19" i="6" s="1"/>
  <c r="C23" i="6" s="1"/>
  <c r="B8" i="6"/>
  <c r="B19" i="6" s="1"/>
  <c r="B23" i="6" s="1"/>
  <c r="G12" i="5"/>
  <c r="F12" i="5"/>
  <c r="E12" i="5"/>
  <c r="D12" i="5"/>
  <c r="C12" i="5"/>
  <c r="B12" i="5"/>
  <c r="B7" i="5"/>
  <c r="B6" i="5"/>
  <c r="G18" i="3"/>
  <c r="G9" i="8" s="1"/>
  <c r="F18" i="3"/>
  <c r="F9" i="8" s="1"/>
  <c r="E18" i="3"/>
  <c r="D18" i="3"/>
  <c r="D9" i="8" s="1"/>
  <c r="C18" i="3"/>
  <c r="C9" i="8" s="1"/>
  <c r="B18" i="3"/>
  <c r="C6" i="5" s="1"/>
  <c r="C7" i="5" s="1"/>
  <c r="D17" i="3"/>
  <c r="D7" i="8" s="1"/>
  <c r="G15" i="3"/>
  <c r="F15" i="3"/>
  <c r="E15" i="3"/>
  <c r="D15" i="3"/>
  <c r="C15" i="3"/>
  <c r="C17" i="3" s="1"/>
  <c r="B15" i="3"/>
  <c r="G11" i="3"/>
  <c r="F11" i="3"/>
  <c r="E11" i="3"/>
  <c r="D11" i="3"/>
  <c r="C11" i="3"/>
  <c r="B11" i="3"/>
  <c r="G7" i="3"/>
  <c r="G17" i="3" s="1"/>
  <c r="F7" i="3"/>
  <c r="F17" i="3" s="1"/>
  <c r="E7" i="3"/>
  <c r="E17" i="3" s="1"/>
  <c r="D7" i="3"/>
  <c r="C7" i="3"/>
  <c r="B7" i="3"/>
  <c r="B17" i="3" s="1"/>
  <c r="F8" i="8" l="1"/>
  <c r="F21" i="3"/>
  <c r="F6" i="8"/>
  <c r="F19" i="3"/>
  <c r="F5" i="4"/>
  <c r="F7" i="8"/>
  <c r="F20" i="3"/>
  <c r="B6" i="8"/>
  <c r="B19" i="3"/>
  <c r="B5" i="4"/>
  <c r="C20" i="3"/>
  <c r="B9" i="5"/>
  <c r="B22" i="3"/>
  <c r="B8" i="8"/>
  <c r="B21" i="3"/>
  <c r="E7" i="8"/>
  <c r="E20" i="3"/>
  <c r="E8" i="8"/>
  <c r="E21" i="3"/>
  <c r="E6" i="8"/>
  <c r="E19" i="3"/>
  <c r="E5" i="4"/>
  <c r="G8" i="8"/>
  <c r="G21" i="3"/>
  <c r="G6" i="8"/>
  <c r="G19" i="3"/>
  <c r="G5" i="4"/>
  <c r="G20" i="3"/>
  <c r="G7" i="8"/>
  <c r="B5" i="9"/>
  <c r="C5" i="4"/>
  <c r="C7" i="8"/>
  <c r="C9" i="5"/>
  <c r="C8" i="8"/>
  <c r="C21" i="3"/>
  <c r="C19" i="3"/>
  <c r="C22" i="3"/>
  <c r="C6" i="8"/>
  <c r="E9" i="5"/>
  <c r="B9" i="8"/>
  <c r="D6" i="8"/>
  <c r="B10" i="9"/>
  <c r="G9" i="5"/>
  <c r="D22" i="3"/>
  <c r="D6" i="5"/>
  <c r="D7" i="5" s="1"/>
  <c r="D5" i="4"/>
  <c r="F9" i="5"/>
  <c r="D19" i="3"/>
  <c r="E22" i="3"/>
  <c r="E6" i="5"/>
  <c r="E7" i="5" s="1"/>
  <c r="E9" i="8"/>
  <c r="D21" i="3"/>
  <c r="F22" i="3"/>
  <c r="F6" i="5"/>
  <c r="F7" i="5" s="1"/>
  <c r="D8" i="8"/>
  <c r="G22" i="3"/>
  <c r="G6" i="5"/>
  <c r="G7" i="5" s="1"/>
  <c r="D20" i="3"/>
  <c r="D9" i="5"/>
  <c r="D10" i="9" l="1"/>
  <c r="F10" i="9" s="1"/>
  <c r="C10" i="9"/>
  <c r="E10" i="9" s="1"/>
  <c r="G8" i="4"/>
  <c r="G8" i="7"/>
  <c r="G14" i="4"/>
  <c r="G9" i="4"/>
  <c r="G15" i="4"/>
  <c r="G20" i="4"/>
  <c r="G7" i="7" s="1"/>
  <c r="G16" i="4"/>
  <c r="G7" i="4"/>
  <c r="G11" i="7"/>
  <c r="G12" i="7" s="1"/>
  <c r="F8" i="4"/>
  <c r="F8" i="7"/>
  <c r="F14" i="4"/>
  <c r="F17" i="4" s="1"/>
  <c r="F9" i="4"/>
  <c r="F20" i="4"/>
  <c r="F7" i="7" s="1"/>
  <c r="F16" i="4"/>
  <c r="F7" i="4"/>
  <c r="F15" i="4"/>
  <c r="F11" i="7"/>
  <c r="F12" i="7" s="1"/>
  <c r="D5" i="9"/>
  <c r="F5" i="9" s="1"/>
  <c r="C5" i="9"/>
  <c r="E5" i="9" s="1"/>
  <c r="B15" i="4"/>
  <c r="B11" i="7"/>
  <c r="B12" i="7" s="1"/>
  <c r="B20" i="4"/>
  <c r="B7" i="7" s="1"/>
  <c r="B16" i="4"/>
  <c r="B7" i="4"/>
  <c r="B10" i="4" s="1"/>
  <c r="B11" i="4" s="1"/>
  <c r="B14" i="4"/>
  <c r="B9" i="4"/>
  <c r="B8" i="4"/>
  <c r="B8" i="7"/>
  <c r="E11" i="7"/>
  <c r="E12" i="7" s="1"/>
  <c r="E20" i="4"/>
  <c r="E7" i="7" s="1"/>
  <c r="E16" i="4"/>
  <c r="E7" i="4"/>
  <c r="E8" i="4"/>
  <c r="E8" i="7"/>
  <c r="E14" i="4"/>
  <c r="E9" i="4"/>
  <c r="E15" i="4"/>
  <c r="D11" i="7"/>
  <c r="D12" i="7" s="1"/>
  <c r="D20" i="4"/>
  <c r="D7" i="7" s="1"/>
  <c r="D16" i="4"/>
  <c r="D7" i="4"/>
  <c r="D8" i="4"/>
  <c r="D15" i="4"/>
  <c r="D8" i="7"/>
  <c r="D14" i="4"/>
  <c r="D9" i="4"/>
  <c r="C15" i="4"/>
  <c r="C11" i="7"/>
  <c r="C12" i="7" s="1"/>
  <c r="C20" i="4"/>
  <c r="C7" i="7" s="1"/>
  <c r="C16" i="4"/>
  <c r="C7" i="4"/>
  <c r="C8" i="4"/>
  <c r="C14" i="4"/>
  <c r="C17" i="4" s="1"/>
  <c r="C9" i="4"/>
  <c r="C8" i="7"/>
  <c r="B11" i="8" l="1"/>
  <c r="B12" i="4"/>
  <c r="E10" i="4"/>
  <c r="E11" i="4" s="1"/>
  <c r="F10" i="4"/>
  <c r="F11" i="4" s="1"/>
  <c r="C10" i="4"/>
  <c r="C11" i="4" s="1"/>
  <c r="D10" i="4"/>
  <c r="D11" i="4" s="1"/>
  <c r="G17" i="4"/>
  <c r="D17" i="4"/>
  <c r="E17" i="4"/>
  <c r="B17" i="4"/>
  <c r="B18" i="4" s="1"/>
  <c r="G10" i="4"/>
  <c r="G11" i="4" s="1"/>
  <c r="B13" i="8" l="1"/>
  <c r="B21" i="4"/>
  <c r="B23" i="4" s="1"/>
  <c r="B19" i="4"/>
  <c r="B14" i="8" s="1"/>
  <c r="G18" i="4"/>
  <c r="G11" i="8"/>
  <c r="G12" i="4"/>
  <c r="D18" i="4"/>
  <c r="D11" i="8"/>
  <c r="D12" i="4"/>
  <c r="C11" i="8"/>
  <c r="C18" i="4"/>
  <c r="C12" i="4"/>
  <c r="F18" i="4"/>
  <c r="F11" i="8"/>
  <c r="F12" i="4"/>
  <c r="E18" i="4"/>
  <c r="E11" i="8"/>
  <c r="E12" i="4"/>
  <c r="B12" i="8"/>
  <c r="B10" i="5"/>
  <c r="D13" i="8" l="1"/>
  <c r="D21" i="4"/>
  <c r="D23" i="4" s="1"/>
  <c r="D19" i="4"/>
  <c r="D14" i="8" s="1"/>
  <c r="E13" i="8"/>
  <c r="E21" i="4"/>
  <c r="E23" i="4" s="1"/>
  <c r="E19" i="4"/>
  <c r="E14" i="8" s="1"/>
  <c r="C12" i="8"/>
  <c r="C10" i="5"/>
  <c r="G10" i="5"/>
  <c r="B6" i="9"/>
  <c r="G12" i="8"/>
  <c r="G13" i="8"/>
  <c r="G21" i="4"/>
  <c r="G23" i="4" s="1"/>
  <c r="B7" i="9"/>
  <c r="G19" i="4"/>
  <c r="B24" i="4"/>
  <c r="B25" i="4" s="1"/>
  <c r="F10" i="5"/>
  <c r="F12" i="8"/>
  <c r="F13" i="8"/>
  <c r="F21" i="4"/>
  <c r="F23" i="4" s="1"/>
  <c r="F19" i="4"/>
  <c r="F14" i="8" s="1"/>
  <c r="B17" i="5"/>
  <c r="C17" i="5"/>
  <c r="B13" i="5"/>
  <c r="B16" i="5"/>
  <c r="B20" i="8" s="1"/>
  <c r="C13" i="8"/>
  <c r="C21" i="4"/>
  <c r="C23" i="4" s="1"/>
  <c r="C19" i="4"/>
  <c r="C14" i="8" s="1"/>
  <c r="E12" i="8"/>
  <c r="E10" i="5"/>
  <c r="D12" i="8"/>
  <c r="D10" i="5"/>
  <c r="B15" i="8" l="1"/>
  <c r="B6" i="7"/>
  <c r="B9" i="7" s="1"/>
  <c r="B26" i="4"/>
  <c r="E24" i="4"/>
  <c r="E25" i="4" s="1"/>
  <c r="B8" i="9"/>
  <c r="G14" i="8"/>
  <c r="D7" i="9"/>
  <c r="F7" i="9" s="1"/>
  <c r="C7" i="9"/>
  <c r="E7" i="9" s="1"/>
  <c r="C24" i="4"/>
  <c r="C25" i="4"/>
  <c r="D17" i="5"/>
  <c r="C13" i="5"/>
  <c r="C16" i="5"/>
  <c r="C20" i="8" s="1"/>
  <c r="F24" i="4"/>
  <c r="F25" i="4" s="1"/>
  <c r="D6" i="9"/>
  <c r="F6" i="9" s="1"/>
  <c r="C6" i="9"/>
  <c r="E6" i="9" s="1"/>
  <c r="D25" i="4"/>
  <c r="D24" i="4"/>
  <c r="E13" i="5"/>
  <c r="F17" i="5"/>
  <c r="E16" i="5"/>
  <c r="E20" i="8" s="1"/>
  <c r="G24" i="4"/>
  <c r="G25" i="4" s="1"/>
  <c r="F13" i="5"/>
  <c r="G17" i="5"/>
  <c r="F16" i="5"/>
  <c r="F20" i="8" s="1"/>
  <c r="D13" i="5"/>
  <c r="D16" i="5"/>
  <c r="D20" i="8" s="1"/>
  <c r="E17" i="5"/>
  <c r="B15" i="5"/>
  <c r="B19" i="8" s="1"/>
  <c r="B18" i="8"/>
  <c r="G16" i="5"/>
  <c r="G20" i="8" s="1"/>
  <c r="G13" i="5"/>
  <c r="B9" i="9" l="1"/>
  <c r="G15" i="8"/>
  <c r="G6" i="7"/>
  <c r="G9" i="7" s="1"/>
  <c r="G26" i="4"/>
  <c r="F15" i="8"/>
  <c r="F6" i="7"/>
  <c r="F9" i="7" s="1"/>
  <c r="F26" i="4"/>
  <c r="E6" i="7"/>
  <c r="E9" i="7" s="1"/>
  <c r="E15" i="8"/>
  <c r="E26" i="4"/>
  <c r="C15" i="5"/>
  <c r="C19" i="8" s="1"/>
  <c r="C18" i="8"/>
  <c r="D8" i="9"/>
  <c r="F8" i="9" s="1"/>
  <c r="C8" i="9"/>
  <c r="E8" i="9" s="1"/>
  <c r="D15" i="5"/>
  <c r="D19" i="8" s="1"/>
  <c r="D18" i="8"/>
  <c r="E15" i="5"/>
  <c r="E19" i="8" s="1"/>
  <c r="E18" i="8"/>
  <c r="G18" i="8"/>
  <c r="G15" i="5"/>
  <c r="B17" i="7"/>
  <c r="B22" i="8"/>
  <c r="D6" i="7"/>
  <c r="D9" i="7" s="1"/>
  <c r="D15" i="8"/>
  <c r="D26" i="4"/>
  <c r="C15" i="8"/>
  <c r="C6" i="7"/>
  <c r="C9" i="7" s="1"/>
  <c r="C26" i="4"/>
  <c r="F18" i="8"/>
  <c r="F15" i="5"/>
  <c r="F19" i="8" s="1"/>
  <c r="C18" i="7" l="1"/>
  <c r="B19" i="7"/>
  <c r="B23" i="8" s="1"/>
  <c r="B11" i="9"/>
  <c r="G19" i="8"/>
  <c r="E22" i="8"/>
  <c r="E17" i="7"/>
  <c r="F18" i="7" s="1"/>
  <c r="F19" i="7" s="1"/>
  <c r="F23" i="8" s="1"/>
  <c r="D22" i="8"/>
  <c r="D17" i="7"/>
  <c r="E18" i="7" s="1"/>
  <c r="E19" i="7" s="1"/>
  <c r="E23" i="8" s="1"/>
  <c r="F17" i="7"/>
  <c r="G18" i="7" s="1"/>
  <c r="F22" i="8"/>
  <c r="C17" i="7"/>
  <c r="D18" i="7" s="1"/>
  <c r="C22" i="8"/>
  <c r="G17" i="7"/>
  <c r="G22" i="8"/>
  <c r="D9" i="9"/>
  <c r="F9" i="9" s="1"/>
  <c r="C9" i="9"/>
  <c r="E9" i="9" s="1"/>
  <c r="C11" i="9" l="1"/>
  <c r="E11" i="9" s="1"/>
  <c r="D11" i="9"/>
  <c r="F11" i="9" s="1"/>
  <c r="D19" i="7"/>
  <c r="D23" i="8" s="1"/>
  <c r="G19" i="7"/>
  <c r="C19" i="7"/>
  <c r="C23" i="8" s="1"/>
  <c r="G23" i="8" l="1"/>
  <c r="B12" i="9"/>
  <c r="D12" i="9" l="1"/>
  <c r="F12" i="9" s="1"/>
  <c r="C12" i="9"/>
  <c r="E12" i="9" s="1"/>
</calcChain>
</file>

<file path=xl/sharedStrings.xml><?xml version="1.0" encoding="utf-8"?>
<sst xmlns="http://schemas.openxmlformats.org/spreadsheetml/2006/main" count="305" uniqueCount="238">
  <si>
    <t>Integrated FP&amp;A Financial Model</t>
  </si>
  <si>
    <t>B2B HR SaaS | 3-Tier Subscription | 6-Year Projection</t>
  </si>
  <si>
    <t>Model Navigation</t>
  </si>
  <si>
    <t>→  Assumptions</t>
  </si>
  <si>
    <t>→  Revenue Model</t>
  </si>
  <si>
    <t>MRR/ARR build, cohort logic, churn, expansion</t>
  </si>
  <si>
    <t>→  P&amp;L</t>
  </si>
  <si>
    <t>→  Unit Economics</t>
  </si>
  <si>
    <t>CAC, LTV, Payback, Contribution Margin</t>
  </si>
  <si>
    <t>→  Headcount</t>
  </si>
  <si>
    <t>Hiring plan and people costs</t>
  </si>
  <si>
    <t>→  Cash Flow</t>
  </si>
  <si>
    <t>Operating, Investing, Financing activities</t>
  </si>
  <si>
    <t>→  Balance Sheet</t>
  </si>
  <si>
    <t>Assets, Liabilities, Equity</t>
  </si>
  <si>
    <t>→  KPI Dashboard</t>
  </si>
  <si>
    <t>Executive summary of key metrics</t>
  </si>
  <si>
    <t>→  Scenario Analysis</t>
  </si>
  <si>
    <t>Base / Bull / Bear case toggle</t>
  </si>
  <si>
    <t>Color Legend</t>
  </si>
  <si>
    <t xml:space="preserve">  Sample  </t>
  </si>
  <si>
    <t>Blue text = Hardcoded input / assumption (user editable)</t>
  </si>
  <si>
    <t>Black text = Formula / calculated value</t>
  </si>
  <si>
    <t>Green text = Cross-sheet link</t>
  </si>
  <si>
    <t>CLOUDHR SAAS — MODEL ASSUMPTIONS</t>
  </si>
  <si>
    <t>Blue = hardcoded input  |  Yellow background = key assumption</t>
  </si>
  <si>
    <t>Assumption</t>
  </si>
  <si>
    <t>FY2024A</t>
  </si>
  <si>
    <t>FY2025E</t>
  </si>
  <si>
    <t>FY2026E</t>
  </si>
  <si>
    <t>FY2027E</t>
  </si>
  <si>
    <t>FY2028E</t>
  </si>
  <si>
    <t>FY2029E</t>
  </si>
  <si>
    <t>Notes</t>
  </si>
  <si>
    <t xml:space="preserve">  PRICING — ANNUAL CONTRACT VALUE (ACV) PER CUSTOMER ($)</t>
  </si>
  <si>
    <t>Starter tier ACV ($)</t>
  </si>
  <si>
    <t>Base price; 5% annual increase yr3+</t>
  </si>
  <si>
    <t>Growth tier ACV ($)</t>
  </si>
  <si>
    <t>Mid-market segment</t>
  </si>
  <si>
    <t>Enterprise tier ACV ($)</t>
  </si>
  <si>
    <t>Annual negotiated contracts</t>
  </si>
  <si>
    <t xml:space="preserve">  CUSTOMER COUNTS — END OF PERIOD</t>
  </si>
  <si>
    <t>Starter customers</t>
  </si>
  <si>
    <t>SMB segment</t>
  </si>
  <si>
    <t>Growth customers</t>
  </si>
  <si>
    <t>Mid-market</t>
  </si>
  <si>
    <t>Enterprise customers</t>
  </si>
  <si>
    <t>Direct sales motion</t>
  </si>
  <si>
    <t xml:space="preserve">  CHURN &amp; EXPANSION</t>
  </si>
  <si>
    <t>Gross churn rate (annual)</t>
  </si>
  <si>
    <t>Logo churn; improves with NPS</t>
  </si>
  <si>
    <t>Net Revenue Retention</t>
  </si>
  <si>
    <t>Expansion &gt; churn target</t>
  </si>
  <si>
    <t xml:space="preserve">  COST OF REVENUE</t>
  </si>
  <si>
    <t>Hosting &amp; infra (% rev)</t>
  </si>
  <si>
    <t>AWS/GCP — scales with volume</t>
  </si>
  <si>
    <t>Customer success (% rev)</t>
  </si>
  <si>
    <t>CS team cost</t>
  </si>
  <si>
    <t>Support &amp; ops (% rev)</t>
  </si>
  <si>
    <t>L1/L2 support</t>
  </si>
  <si>
    <t xml:space="preserve">  OPERATING EXPENSES</t>
  </si>
  <si>
    <t>R&amp;D (% rev)</t>
  </si>
  <si>
    <t>Product + engineering</t>
  </si>
  <si>
    <t>Sales &amp; Marketing (% rev)</t>
  </si>
  <si>
    <t>CAC-heavy early years</t>
  </si>
  <si>
    <t>G&amp;A (% rev)</t>
  </si>
  <si>
    <t>Finance, Legal, HR</t>
  </si>
  <si>
    <t xml:space="preserve">  UNIT ECONOMICS</t>
  </si>
  <si>
    <t>Blended CAC ($)</t>
  </si>
  <si>
    <t>Fully-loaded S&amp;M / new logo</t>
  </si>
  <si>
    <t>Avg contract length (yrs)</t>
  </si>
  <si>
    <t>Moving to multi-year deals</t>
  </si>
  <si>
    <t xml:space="preserve">  BALANCE SHEET &amp; CASH</t>
  </si>
  <si>
    <t>Days Sales Outstanding</t>
  </si>
  <si>
    <t>Accounts receivable days</t>
  </si>
  <si>
    <t>CapEx (% rev)</t>
  </si>
  <si>
    <t>Leasehold + equipment</t>
  </si>
  <si>
    <t>Tax rate</t>
  </si>
  <si>
    <t>NOL shield until FY2027</t>
  </si>
  <si>
    <t>Opening cash ($000s)</t>
  </si>
  <si>
    <t>Seed + Series A raised</t>
  </si>
  <si>
    <t>CLOUDHR SAAS — REVENUE MODEL</t>
  </si>
  <si>
    <t>Metric</t>
  </si>
  <si>
    <t xml:space="preserve">  TIER 1 — STARTER</t>
  </si>
  <si>
    <t xml:space="preserve">  Customers (EOP)</t>
  </si>
  <si>
    <t>From Assumptions</t>
  </si>
  <si>
    <t xml:space="preserve">  ACV per customer ($)</t>
  </si>
  <si>
    <t>5% price increase yr3+</t>
  </si>
  <si>
    <t xml:space="preserve">  Starter Revenue ($000s)</t>
  </si>
  <si>
    <t>Customers × ACV / 1000</t>
  </si>
  <si>
    <t xml:space="preserve">  TIER 2 — GROWTH</t>
  </si>
  <si>
    <t xml:space="preserve">  Growth Revenue ($000s)</t>
  </si>
  <si>
    <t xml:space="preserve">  TIER 3 — ENTERPRISE</t>
  </si>
  <si>
    <t xml:space="preserve">  Enterprise Revenue ($000s)</t>
  </si>
  <si>
    <t xml:space="preserve">  TOTAL REVENUE SUMMARY</t>
  </si>
  <si>
    <t>TOTAL REVENUE ($000s)</t>
  </si>
  <si>
    <t>Sum of all tiers</t>
  </si>
  <si>
    <t>Total Customers</t>
  </si>
  <si>
    <t>Total logos</t>
  </si>
  <si>
    <t>ARR ($000s)</t>
  </si>
  <si>
    <t>Annual Recurring Revenue = Total Rev (all subscription)</t>
  </si>
  <si>
    <t>YoY Revenue Growth</t>
  </si>
  <si>
    <t>N/A</t>
  </si>
  <si>
    <t>Period over period</t>
  </si>
  <si>
    <t>MRR ($000s)</t>
  </si>
  <si>
    <t>Monthly Recurring Revenue</t>
  </si>
  <si>
    <t>ARPU — Blended ($)</t>
  </si>
  <si>
    <t>Average Revenue Per User</t>
  </si>
  <si>
    <t>CLOUDHR SAAS — INCOME STATEMENT (P&amp;L)</t>
  </si>
  <si>
    <t>All figures in $000s unless stated</t>
  </si>
  <si>
    <t>Line Item</t>
  </si>
  <si>
    <t>Driver</t>
  </si>
  <si>
    <t>Revenue</t>
  </si>
  <si>
    <t>Linked from Revenue Model</t>
  </si>
  <si>
    <t xml:space="preserve">    Hosting &amp; Infrastructure</t>
  </si>
  <si>
    <t>% of revenue per Assumptions</t>
  </si>
  <si>
    <t xml:space="preserve">    Customer Success</t>
  </si>
  <si>
    <t xml:space="preserve">    Support &amp; Operations</t>
  </si>
  <si>
    <t>Total Cost of Revenue</t>
  </si>
  <si>
    <t>GROSS PROFIT</t>
  </si>
  <si>
    <t xml:space="preserve">  Gross Margin %</t>
  </si>
  <si>
    <t>Target: 70%+ by FY2027</t>
  </si>
  <si>
    <t xml:space="preserve">    R&amp;D</t>
  </si>
  <si>
    <t>Declining as % of rev</t>
  </si>
  <si>
    <t xml:space="preserve">    Sales &amp; Marketing</t>
  </si>
  <si>
    <t xml:space="preserve">    G&amp;A</t>
  </si>
  <si>
    <t>Total OpEx</t>
  </si>
  <si>
    <t>EBITDA</t>
  </si>
  <si>
    <t>Earnings Before Interest, Tax, D&amp;A</t>
  </si>
  <si>
    <t xml:space="preserve">  EBITDA Margin %</t>
  </si>
  <si>
    <t xml:space="preserve">  D&amp;A</t>
  </si>
  <si>
    <t>Depreciation &amp; Amortization</t>
  </si>
  <si>
    <t>EBIT (Operating Income)</t>
  </si>
  <si>
    <t xml:space="preserve">  Interest Income / (Expense)</t>
  </si>
  <si>
    <t>Interest on cash balance</t>
  </si>
  <si>
    <t>EBT (Pre-Tax Income)</t>
  </si>
  <si>
    <t xml:space="preserve">  Income Tax</t>
  </si>
  <si>
    <t>NOL shield FY2024-26; 21% thereafter</t>
  </si>
  <si>
    <t>NET INCOME</t>
  </si>
  <si>
    <t xml:space="preserve">  Net Income Margin %</t>
  </si>
  <si>
    <t>CLOUDHR SAAS — UNIT ECONOMICS</t>
  </si>
  <si>
    <t>Formula / Notes</t>
  </si>
  <si>
    <t xml:space="preserve">  CUSTOMER ACQUISITION COST (CAC)</t>
  </si>
  <si>
    <t>Fully-loaded S&amp;M ÷ new logos</t>
  </si>
  <si>
    <t>New Logos Added</t>
  </si>
  <si>
    <t>EOP customers delta</t>
  </si>
  <si>
    <t>Total CAC Spend ($000s)</t>
  </si>
  <si>
    <t>CAC × new logos</t>
  </si>
  <si>
    <t xml:space="preserve">  LIFETIME VALUE (LTV)</t>
  </si>
  <si>
    <t>ARPU — Blended ($ annual)</t>
  </si>
  <si>
    <t>Rev × 1000 / total customers</t>
  </si>
  <si>
    <t>Gross Margin %</t>
  </si>
  <si>
    <t>Linked from P&amp;L</t>
  </si>
  <si>
    <t>Annual Gross Churn Rate</t>
  </si>
  <si>
    <t>Avg Customer Lifetime (yrs)</t>
  </si>
  <si>
    <t>1 / Churn Rate</t>
  </si>
  <si>
    <t>LTV ($)</t>
  </si>
  <si>
    <t>ARPU × GM% × Avg Life</t>
  </si>
  <si>
    <t xml:space="preserve">  LTV:CAC &amp; PAYBACK</t>
  </si>
  <si>
    <t>LTV:CAC Ratio</t>
  </si>
  <si>
    <t>Target: &gt;3x for healthy SaaS</t>
  </si>
  <si>
    <t>CAC Payback Period (months)</t>
  </si>
  <si>
    <t>Target: &lt;18 months</t>
  </si>
  <si>
    <t>Magic Number (Efficiency)</t>
  </si>
  <si>
    <t>ΔRev×GM / S&amp;M spend; &gt;0.75 = efficient</t>
  </si>
  <si>
    <t>CLOUDHR SAAS — HEADCOUNT &amp; PEOPLE COSTS</t>
  </si>
  <si>
    <t>Department / Role</t>
  </si>
  <si>
    <t xml:space="preserve">  ENGINEERING &amp; PRODUCT</t>
  </si>
  <si>
    <t xml:space="preserve">    Engineering</t>
  </si>
  <si>
    <t xml:space="preserve">    Product Mgmt</t>
  </si>
  <si>
    <t xml:space="preserve">    Design</t>
  </si>
  <si>
    <t xml:space="preserve">  ENGINEERING &amp; PRODUCT Total</t>
  </si>
  <si>
    <t xml:space="preserve">  SALES &amp; MARKETING</t>
  </si>
  <si>
    <t xml:space="preserve">    AEs / SDRs</t>
  </si>
  <si>
    <t xml:space="preserve">    Marketing</t>
  </si>
  <si>
    <t xml:space="preserve">  SALES &amp; MARKETING Total</t>
  </si>
  <si>
    <t xml:space="preserve">  G&amp;A</t>
  </si>
  <si>
    <t xml:space="preserve">    Finance &amp; Analytics</t>
  </si>
  <si>
    <t xml:space="preserve">    HR &amp; Legal</t>
  </si>
  <si>
    <t xml:space="preserve">    Operations</t>
  </si>
  <si>
    <t xml:space="preserve">  G&amp;A Total</t>
  </si>
  <si>
    <t>TOTAL HEADCOUNT</t>
  </si>
  <si>
    <t xml:space="preserve">  PEOPLE COST BUILD</t>
  </si>
  <si>
    <t>Avg fully-loaded cost/head ($000s)</t>
  </si>
  <si>
    <t>Salary + benefits + equity; ~5% annual increase</t>
  </si>
  <si>
    <t>Total People Cost ($000s)</t>
  </si>
  <si>
    <t>CLOUDHR SAAS — CASH FLOW STATEMENT</t>
  </si>
  <si>
    <t>All figures in $000s</t>
  </si>
  <si>
    <t xml:space="preserve">  OPERATING ACTIVITIES</t>
  </si>
  <si>
    <t>Net Income</t>
  </si>
  <si>
    <t>From P&amp;L</t>
  </si>
  <si>
    <t xml:space="preserve">  Add back: D&amp;A</t>
  </si>
  <si>
    <t>Non-cash charge added back</t>
  </si>
  <si>
    <t xml:space="preserve">  Change in Working Capital</t>
  </si>
  <si>
    <t>DSO-driven AR movement</t>
  </si>
  <si>
    <t>Cash from Operations (CFO)</t>
  </si>
  <si>
    <t xml:space="preserve">  INVESTING ACTIVITIES</t>
  </si>
  <si>
    <t xml:space="preserve">  Capital Expenditures (CapEx)</t>
  </si>
  <si>
    <t>Cash from Investing (CFI)</t>
  </si>
  <si>
    <t xml:space="preserve">  FINANCING ACTIVITIES</t>
  </si>
  <si>
    <t xml:space="preserve">  Equity Raised</t>
  </si>
  <si>
    <t>Seed + Series A</t>
  </si>
  <si>
    <t xml:space="preserve">  Debt Repayment</t>
  </si>
  <si>
    <t>Cash from Financing (CFF)</t>
  </si>
  <si>
    <t>NET CHANGE IN CASH</t>
  </si>
  <si>
    <t>Opening Cash Balance</t>
  </si>
  <si>
    <t>FY2024 opening = seed capital</t>
  </si>
  <si>
    <t>Closing Cash Balance</t>
  </si>
  <si>
    <t>CLOUDHR SAAS — KPI EXECUTIVE DASHBOARD</t>
  </si>
  <si>
    <t>Single source of truth for CFO / Board reporting</t>
  </si>
  <si>
    <t>KPI</t>
  </si>
  <si>
    <t>── GROWTH ──</t>
  </si>
  <si>
    <t>Total Revenue ($000s)</t>
  </si>
  <si>
    <t>── PROFITABILITY ──</t>
  </si>
  <si>
    <t>Gross Profit ($000s)</t>
  </si>
  <si>
    <t>EBITDA ($000s)</t>
  </si>
  <si>
    <t>EBITDA Margin %</t>
  </si>
  <si>
    <t>Net Income ($000s)</t>
  </si>
  <si>
    <t>── UNIT ECONOMICS ──</t>
  </si>
  <si>
    <t>CAC ($)</t>
  </si>
  <si>
    <t>LTV:CAC</t>
  </si>
  <si>
    <t>CAC Payback (months)</t>
  </si>
  <si>
    <t>── CASH ──</t>
  </si>
  <si>
    <t>CFO ($000s)</t>
  </si>
  <si>
    <t>Closing Cash ($000s)</t>
  </si>
  <si>
    <t>CLOUDHR SAAS — SCENARIO ANALYSIS</t>
  </si>
  <si>
    <t>Compares Base / Bull / Bear across key metrics for FY2029E</t>
  </si>
  <si>
    <t>Base Case</t>
  </si>
  <si>
    <t>Bull Case (+20%)</t>
  </si>
  <si>
    <t>Bear Case (-20%)</t>
  </si>
  <si>
    <t>Bull vs Base</t>
  </si>
  <si>
    <t>Bear vs Base</t>
  </si>
  <si>
    <t>Revenue ($000s)</t>
  </si>
  <si>
    <t>CLOUD HR SAAS</t>
  </si>
  <si>
    <t>Prepared by: Megha Dalmia,MBA  |  Model Version: 1.0  |  April 2026</t>
  </si>
  <si>
    <t>All model drivers pricing, growth, costs, margins</t>
  </si>
  <si>
    <t>Full Income Statement Revenue to Net Income</t>
  </si>
  <si>
    <t>Yellow background = Key assumption  review before 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</si>
</sst>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"/>
    <numFmt numFmtId="165" formatCode="0.0%"/>
    <numFmt numFmtId="166" formatCode="\$#,##0;&quot;($&quot;#,##0\);\-"/>
    <numFmt numFmtId="167" formatCode="0.0\x"/>
    <numFmt numFmtId="168" formatCode="0.0&quot; mo&quot;"/>
  </numFmts>
  <fonts count="23" x14ac:knownFonts="1">
    <font>
      <sz val="11"/>
      <color theme="1"/>
      <name val="Calibri"/>
      <family val="2"/>
      <charset val="1"/>
    </font>
    <font>
      <b/>
      <sz val="28"/>
      <color rgb="FFFFFFFF"/>
      <name val="Arial"/>
      <family val="2"/>
    </font>
    <font>
      <sz val="16"/>
      <color rgb="FFD6E4F0"/>
      <name val="Arial"/>
      <family val="2"/>
    </font>
    <font>
      <i/>
      <sz val="11"/>
      <color rgb="FFD9D9D9"/>
      <name val="Arial"/>
      <family val="2"/>
    </font>
    <font>
      <sz val="10"/>
      <color rgb="FFD9D9D9"/>
      <name val="Arial"/>
      <family val="2"/>
    </font>
    <font>
      <b/>
      <sz val="12"/>
      <color rgb="FF1F3864"/>
      <name val="Arial"/>
      <family val="2"/>
    </font>
    <font>
      <b/>
      <sz val="10"/>
      <color rgb="FF2E74B5"/>
      <name val="Arial"/>
      <family val="2"/>
    </font>
    <font>
      <sz val="10"/>
      <color rgb="FF595959"/>
      <name val="Arial"/>
      <family val="2"/>
    </font>
    <font>
      <b/>
      <sz val="10"/>
      <color rgb="FF1F3864"/>
      <name val="Arial"/>
      <family val="2"/>
    </font>
    <font>
      <b/>
      <sz val="10"/>
      <color rgb="FF0000FF"/>
      <name val="Arial"/>
      <family val="2"/>
    </font>
    <font>
      <b/>
      <sz val="10"/>
      <color rgb="FF000000"/>
      <name val="Arial"/>
      <family val="2"/>
    </font>
    <font>
      <b/>
      <sz val="10"/>
      <color rgb="FF00B050"/>
      <name val="Arial"/>
      <family val="2"/>
    </font>
    <font>
      <b/>
      <sz val="14"/>
      <color rgb="FFFFFFFF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b/>
      <sz val="10"/>
      <color rgb="FF595959"/>
      <name val="Arial"/>
      <family val="2"/>
    </font>
    <font>
      <b/>
      <sz val="16"/>
      <color rgb="FFFFFFFF"/>
      <name val="Arial"/>
      <family val="2"/>
    </font>
    <font>
      <i/>
      <sz val="10"/>
      <color rgb="FF595959"/>
      <name val="Arial"/>
      <family val="2"/>
    </font>
    <font>
      <sz val="10"/>
      <color rgb="FF00B050"/>
      <name val="Arial"/>
      <family val="2"/>
    </font>
    <font>
      <sz val="10"/>
      <color rgb="FFC00000"/>
      <name val="Arial"/>
      <family val="2"/>
    </font>
    <font>
      <b/>
      <sz val="10"/>
      <color rgb="FFC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2E74B5"/>
        <bgColor rgb="FF0066CC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BDD7EE"/>
        <bgColor rgb="FFD9D9D9"/>
      </patternFill>
    </fill>
    <fill>
      <patternFill patternType="solid">
        <fgColor rgb="FFE2EFDA"/>
        <bgColor rgb="FFF2F2F2"/>
      </patternFill>
    </fill>
    <fill>
      <patternFill patternType="solid">
        <fgColor rgb="FFD6E4F0"/>
        <bgColor rgb="FFD9D9D9"/>
      </patternFill>
    </fill>
    <fill>
      <patternFill patternType="solid">
        <fgColor rgb="FF00B050"/>
        <bgColor rgb="FF008080"/>
      </patternFill>
    </fill>
    <fill>
      <patternFill patternType="solid">
        <fgColor rgb="FFC00000"/>
        <bgColor rgb="FF800000"/>
      </patternFill>
    </fill>
    <fill>
      <patternFill patternType="solid">
        <fgColor rgb="FFFFCCCC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9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4" fillId="4" borderId="0" xfId="0" applyFont="1" applyFill="1"/>
    <xf numFmtId="0" fontId="13" fillId="0" borderId="0" xfId="0" applyFont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1" xfId="0" applyFont="1" applyBorder="1"/>
    <xf numFmtId="0" fontId="10" fillId="0" borderId="1" xfId="0" applyFont="1" applyBorder="1"/>
    <xf numFmtId="0" fontId="11" fillId="0" borderId="1" xfId="0" applyFont="1" applyBorder="1"/>
    <xf numFmtId="0" fontId="10" fillId="3" borderId="1" xfId="0" applyFont="1" applyFill="1" applyBorder="1"/>
    <xf numFmtId="0" fontId="14" fillId="2" borderId="0" xfId="0" applyFont="1" applyFill="1"/>
    <xf numFmtId="0" fontId="14" fillId="2" borderId="0" xfId="0" applyFont="1" applyFill="1" applyAlignment="1">
      <alignment horizontal="center" vertical="center"/>
    </xf>
    <xf numFmtId="0" fontId="7" fillId="5" borderId="1" xfId="0" applyFont="1" applyFill="1" applyBorder="1"/>
    <xf numFmtId="164" fontId="15" fillId="0" borderId="1" xfId="0" applyNumberFormat="1" applyFont="1" applyBorder="1" applyAlignment="1">
      <alignment horizontal="center" vertical="center"/>
    </xf>
    <xf numFmtId="0" fontId="13" fillId="0" borderId="0" xfId="0" applyFont="1"/>
    <xf numFmtId="0" fontId="7" fillId="6" borderId="1" xfId="0" applyFont="1" applyFill="1" applyBorder="1"/>
    <xf numFmtId="164" fontId="15" fillId="6" borderId="1" xfId="0" applyNumberFormat="1" applyFont="1" applyFill="1" applyBorder="1" applyAlignment="1">
      <alignment horizontal="center" vertical="center"/>
    </xf>
    <xf numFmtId="3" fontId="15" fillId="0" borderId="1" xfId="0" applyNumberFormat="1" applyFont="1" applyBorder="1" applyAlignment="1">
      <alignment horizontal="center" vertical="center"/>
    </xf>
    <xf numFmtId="3" fontId="15" fillId="6" borderId="1" xfId="0" applyNumberFormat="1" applyFont="1" applyFill="1" applyBorder="1" applyAlignment="1">
      <alignment horizontal="center" vertical="center"/>
    </xf>
    <xf numFmtId="165" fontId="15" fillId="0" borderId="1" xfId="0" applyNumberFormat="1" applyFont="1" applyBorder="1" applyAlignment="1">
      <alignment horizontal="center" vertical="center"/>
    </xf>
    <xf numFmtId="165" fontId="15" fillId="6" borderId="1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7" fillId="7" borderId="1" xfId="0" applyFont="1" applyFill="1" applyBorder="1"/>
    <xf numFmtId="3" fontId="15" fillId="7" borderId="1" xfId="0" applyNumberFormat="1" applyFont="1" applyFill="1" applyBorder="1" applyAlignment="1">
      <alignment horizontal="center" vertical="center"/>
    </xf>
    <xf numFmtId="164" fontId="15" fillId="7" borderId="1" xfId="0" applyNumberFormat="1" applyFont="1" applyFill="1" applyBorder="1" applyAlignment="1">
      <alignment horizontal="center" vertical="center"/>
    </xf>
    <xf numFmtId="164" fontId="16" fillId="5" borderId="1" xfId="0" applyNumberFormat="1" applyFont="1" applyFill="1" applyBorder="1" applyAlignment="1">
      <alignment horizontal="center" vertical="center"/>
    </xf>
    <xf numFmtId="0" fontId="17" fillId="8" borderId="1" xfId="0" applyFont="1" applyFill="1" applyBorder="1"/>
    <xf numFmtId="164" fontId="10" fillId="8" borderId="1" xfId="0" applyNumberFormat="1" applyFont="1" applyFill="1" applyBorder="1" applyAlignment="1">
      <alignment horizontal="center" vertical="center"/>
    </xf>
    <xf numFmtId="3" fontId="16" fillId="5" borderId="1" xfId="0" applyNumberFormat="1" applyFont="1" applyFill="1" applyBorder="1" applyAlignment="1">
      <alignment horizontal="center" vertical="center"/>
    </xf>
    <xf numFmtId="165" fontId="16" fillId="5" borderId="1" xfId="0" applyNumberFormat="1" applyFont="1" applyFill="1" applyBorder="1" applyAlignment="1">
      <alignment horizontal="center" vertical="center"/>
    </xf>
    <xf numFmtId="0" fontId="10" fillId="8" borderId="1" xfId="0" applyFont="1" applyFill="1" applyBorder="1"/>
    <xf numFmtId="166" fontId="11" fillId="8" borderId="1" xfId="0" applyNumberFormat="1" applyFont="1" applyFill="1" applyBorder="1" applyAlignment="1">
      <alignment horizontal="center" vertical="center"/>
    </xf>
    <xf numFmtId="166" fontId="16" fillId="7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/>
    <xf numFmtId="166" fontId="10" fillId="5" borderId="1" xfId="0" applyNumberFormat="1" applyFont="1" applyFill="1" applyBorder="1" applyAlignment="1">
      <alignment horizontal="center" vertical="center"/>
    </xf>
    <xf numFmtId="0" fontId="10" fillId="9" borderId="1" xfId="0" applyFont="1" applyFill="1" applyBorder="1"/>
    <xf numFmtId="166" fontId="10" fillId="9" borderId="1" xfId="0" applyNumberFormat="1" applyFont="1" applyFill="1" applyBorder="1" applyAlignment="1">
      <alignment horizontal="center" vertical="center"/>
    </xf>
    <xf numFmtId="0" fontId="7" fillId="9" borderId="1" xfId="0" applyFont="1" applyFill="1" applyBorder="1"/>
    <xf numFmtId="165" fontId="16" fillId="9" borderId="1" xfId="0" applyNumberFormat="1" applyFont="1" applyFill="1" applyBorder="1" applyAlignment="1">
      <alignment horizontal="center" vertical="center"/>
    </xf>
    <xf numFmtId="166" fontId="10" fillId="8" borderId="1" xfId="0" applyNumberFormat="1" applyFont="1" applyFill="1" applyBorder="1" applyAlignment="1">
      <alignment horizontal="center" vertical="center"/>
    </xf>
    <xf numFmtId="0" fontId="7" fillId="8" borderId="1" xfId="0" applyFont="1" applyFill="1" applyBorder="1"/>
    <xf numFmtId="165" fontId="16" fillId="8" borderId="1" xfId="0" applyNumberFormat="1" applyFont="1" applyFill="1" applyBorder="1" applyAlignment="1">
      <alignment horizontal="center" vertical="center"/>
    </xf>
    <xf numFmtId="166" fontId="11" fillId="9" borderId="1" xfId="0" applyNumberFormat="1" applyFont="1" applyFill="1" applyBorder="1" applyAlignment="1">
      <alignment horizontal="center" vertical="center"/>
    </xf>
    <xf numFmtId="164" fontId="16" fillId="7" borderId="1" xfId="0" applyNumberFormat="1" applyFont="1" applyFill="1" applyBorder="1" applyAlignment="1">
      <alignment horizontal="center" vertical="center"/>
    </xf>
    <xf numFmtId="165" fontId="16" fillId="7" borderId="1" xfId="0" applyNumberFormat="1" applyFont="1" applyFill="1" applyBorder="1" applyAlignment="1">
      <alignment horizontal="center" vertical="center"/>
    </xf>
    <xf numFmtId="165" fontId="15" fillId="7" borderId="1" xfId="0" applyNumberFormat="1" applyFont="1" applyFill="1" applyBorder="1" applyAlignment="1">
      <alignment horizontal="center" vertical="center"/>
    </xf>
    <xf numFmtId="167" fontId="16" fillId="7" borderId="1" xfId="0" applyNumberFormat="1" applyFont="1" applyFill="1" applyBorder="1" applyAlignment="1">
      <alignment horizontal="center" vertical="center"/>
    </xf>
    <xf numFmtId="0" fontId="17" fillId="9" borderId="1" xfId="0" applyFont="1" applyFill="1" applyBorder="1"/>
    <xf numFmtId="164" fontId="10" fillId="9" borderId="1" xfId="0" applyNumberFormat="1" applyFont="1" applyFill="1" applyBorder="1" applyAlignment="1">
      <alignment horizontal="center" vertical="center"/>
    </xf>
    <xf numFmtId="167" fontId="10" fillId="8" borderId="1" xfId="0" applyNumberFormat="1" applyFont="1" applyFill="1" applyBorder="1" applyAlignment="1">
      <alignment horizontal="center" vertical="center"/>
    </xf>
    <xf numFmtId="168" fontId="16" fillId="7" borderId="1" xfId="0" applyNumberFormat="1" applyFont="1" applyFill="1" applyBorder="1" applyAlignment="1">
      <alignment horizontal="center" vertical="center"/>
    </xf>
    <xf numFmtId="0" fontId="7" fillId="0" borderId="1" xfId="0" applyFont="1" applyBorder="1"/>
    <xf numFmtId="3" fontId="10" fillId="5" borderId="1" xfId="0" applyNumberFormat="1" applyFont="1" applyFill="1" applyBorder="1" applyAlignment="1">
      <alignment horizontal="center" vertical="center"/>
    </xf>
    <xf numFmtId="0" fontId="14" fillId="2" borderId="1" xfId="0" applyFont="1" applyFill="1" applyBorder="1"/>
    <xf numFmtId="3" fontId="14" fillId="2" borderId="1" xfId="0" applyNumberFormat="1" applyFont="1" applyFill="1" applyBorder="1" applyAlignment="1">
      <alignment horizontal="center" vertical="center"/>
    </xf>
    <xf numFmtId="166" fontId="15" fillId="7" borderId="1" xfId="0" applyNumberFormat="1" applyFont="1" applyFill="1" applyBorder="1" applyAlignment="1">
      <alignment horizontal="center" vertical="center"/>
    </xf>
    <xf numFmtId="0" fontId="17" fillId="2" borderId="1" xfId="0" applyFont="1" applyFill="1" applyBorder="1"/>
    <xf numFmtId="166" fontId="14" fillId="2" borderId="1" xfId="0" applyNumberFormat="1" applyFont="1" applyFill="1" applyBorder="1" applyAlignment="1">
      <alignment horizontal="center" vertical="center"/>
    </xf>
    <xf numFmtId="0" fontId="7" fillId="10" borderId="1" xfId="0" applyFont="1" applyFill="1" applyBorder="1"/>
    <xf numFmtId="164" fontId="16" fillId="10" borderId="1" xfId="0" applyNumberFormat="1" applyFont="1" applyFill="1" applyBorder="1" applyAlignment="1">
      <alignment horizontal="center" vertical="center"/>
    </xf>
    <xf numFmtId="3" fontId="16" fillId="7" borderId="1" xfId="0" applyNumberFormat="1" applyFont="1" applyFill="1" applyBorder="1" applyAlignment="1">
      <alignment horizontal="center" vertical="center"/>
    </xf>
    <xf numFmtId="165" fontId="16" fillId="10" borderId="1" xfId="0" applyNumberFormat="1" applyFont="1" applyFill="1" applyBorder="1" applyAlignment="1">
      <alignment horizontal="center" vertical="center"/>
    </xf>
    <xf numFmtId="168" fontId="16" fillId="10" borderId="1" xfId="0" applyNumberFormat="1" applyFont="1" applyFill="1" applyBorder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4" fillId="11" borderId="0" xfId="0" applyFont="1" applyFill="1" applyAlignment="1">
      <alignment horizontal="center" vertical="center"/>
    </xf>
    <xf numFmtId="0" fontId="14" fillId="12" borderId="0" xfId="0" applyFont="1" applyFill="1" applyAlignment="1">
      <alignment horizontal="center" vertical="center"/>
    </xf>
    <xf numFmtId="164" fontId="20" fillId="9" borderId="1" xfId="0" applyNumberFormat="1" applyFont="1" applyFill="1" applyBorder="1" applyAlignment="1">
      <alignment horizontal="center" vertical="center"/>
    </xf>
    <xf numFmtId="164" fontId="21" fillId="13" borderId="1" xfId="0" applyNumberFormat="1" applyFont="1" applyFill="1" applyBorder="1" applyAlignment="1">
      <alignment horizontal="center" vertical="center"/>
    </xf>
    <xf numFmtId="164" fontId="11" fillId="7" borderId="1" xfId="0" applyNumberFormat="1" applyFont="1" applyFill="1" applyBorder="1" applyAlignment="1">
      <alignment horizontal="center" vertical="center"/>
    </xf>
    <xf numFmtId="164" fontId="22" fillId="7" borderId="1" xfId="0" applyNumberFormat="1" applyFont="1" applyFill="1" applyBorder="1" applyAlignment="1">
      <alignment horizontal="center" vertical="center"/>
    </xf>
    <xf numFmtId="165" fontId="20" fillId="9" borderId="1" xfId="0" applyNumberFormat="1" applyFont="1" applyFill="1" applyBorder="1" applyAlignment="1">
      <alignment horizontal="center" vertical="center"/>
    </xf>
    <xf numFmtId="165" fontId="21" fillId="13" borderId="1" xfId="0" applyNumberFormat="1" applyFont="1" applyFill="1" applyBorder="1" applyAlignment="1">
      <alignment horizontal="center" vertical="center"/>
    </xf>
    <xf numFmtId="165" fontId="11" fillId="5" borderId="1" xfId="0" applyNumberFormat="1" applyFont="1" applyFill="1" applyBorder="1" applyAlignment="1">
      <alignment horizontal="center" vertical="center"/>
    </xf>
    <xf numFmtId="165" fontId="22" fillId="5" borderId="1" xfId="0" applyNumberFormat="1" applyFont="1" applyFill="1" applyBorder="1" applyAlignment="1">
      <alignment horizontal="center" vertical="center"/>
    </xf>
    <xf numFmtId="3" fontId="20" fillId="9" borderId="1" xfId="0" applyNumberFormat="1" applyFont="1" applyFill="1" applyBorder="1" applyAlignment="1">
      <alignment horizontal="center" vertical="center"/>
    </xf>
    <xf numFmtId="3" fontId="21" fillId="13" borderId="1" xfId="0" applyNumberFormat="1" applyFont="1" applyFill="1" applyBorder="1" applyAlignment="1">
      <alignment horizontal="center" vertical="center"/>
    </xf>
    <xf numFmtId="3" fontId="11" fillId="5" borderId="1" xfId="0" applyNumberFormat="1" applyFont="1" applyFill="1" applyBorder="1" applyAlignment="1">
      <alignment horizontal="center" vertical="center"/>
    </xf>
    <xf numFmtId="3" fontId="22" fillId="5" borderId="1" xfId="0" applyNumberFormat="1" applyFont="1" applyFill="1" applyBorder="1" applyAlignment="1">
      <alignment horizontal="center" vertical="center"/>
    </xf>
    <xf numFmtId="167" fontId="20" fillId="9" borderId="1" xfId="0" applyNumberFormat="1" applyFont="1" applyFill="1" applyBorder="1" applyAlignment="1">
      <alignment horizontal="center" vertical="center"/>
    </xf>
    <xf numFmtId="167" fontId="21" fillId="13" borderId="1" xfId="0" applyNumberFormat="1" applyFont="1" applyFill="1" applyBorder="1" applyAlignment="1">
      <alignment horizontal="center" vertical="center"/>
    </xf>
    <xf numFmtId="167" fontId="11" fillId="7" borderId="1" xfId="0" applyNumberFormat="1" applyFont="1" applyFill="1" applyBorder="1" applyAlignment="1">
      <alignment horizontal="center" vertical="center"/>
    </xf>
    <xf numFmtId="167" fontId="22" fillId="7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horizontal="center" vertical="center"/>
    </xf>
    <xf numFmtId="164" fontId="22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6E4F0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D9D9D9"/>
      <rgbColor rgb="FFFF99CC"/>
      <rgbColor rgb="FFCC99FF"/>
      <rgbColor rgb="FFFFCCCC"/>
      <rgbColor rgb="FF2E74B5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showGridLines="0" topLeftCell="A12" zoomScaleNormal="100" workbookViewId="0">
      <selection activeCell="B28" sqref="B28"/>
    </sheetView>
  </sheetViews>
  <sheetFormatPr defaultColWidth="8.6640625" defaultRowHeight="14.4" x14ac:dyDescent="0.3"/>
  <cols>
    <col min="1" max="1" width="5" customWidth="1"/>
    <col min="2" max="2" width="60" customWidth="1"/>
    <col min="3" max="3" width="30" customWidth="1"/>
  </cols>
  <sheetData>
    <row r="1" spans="1:7" ht="18" customHeight="1" x14ac:dyDescent="0.3"/>
    <row r="2" spans="1:7" ht="3" customHeight="1" x14ac:dyDescent="0.3"/>
    <row r="3" spans="1:7" ht="18" hidden="1" customHeight="1" x14ac:dyDescent="0.3">
      <c r="A3" s="6"/>
      <c r="B3" s="6"/>
      <c r="C3" s="6"/>
      <c r="D3" s="6"/>
      <c r="E3" s="6"/>
      <c r="F3" s="6"/>
      <c r="G3" s="6"/>
    </row>
    <row r="4" spans="1:7" ht="36" customHeight="1" x14ac:dyDescent="0.6">
      <c r="A4" s="6"/>
      <c r="B4" s="7" t="s">
        <v>233</v>
      </c>
      <c r="C4" s="6"/>
      <c r="D4" s="6"/>
      <c r="E4" s="6"/>
      <c r="F4" s="6"/>
      <c r="G4" s="6"/>
    </row>
    <row r="5" spans="1:7" ht="18" customHeight="1" x14ac:dyDescent="0.3">
      <c r="A5" s="6"/>
      <c r="B5" s="6"/>
      <c r="C5" s="6"/>
      <c r="D5" s="6"/>
      <c r="E5" s="6"/>
      <c r="F5" s="6"/>
      <c r="G5" s="6"/>
    </row>
    <row r="6" spans="1:7" ht="18" customHeight="1" x14ac:dyDescent="0.35">
      <c r="A6" s="6"/>
      <c r="B6" s="8" t="s">
        <v>0</v>
      </c>
      <c r="C6" s="6"/>
      <c r="D6" s="6"/>
      <c r="E6" s="6"/>
      <c r="F6" s="6"/>
      <c r="G6" s="6"/>
    </row>
    <row r="7" spans="1:7" ht="18" customHeight="1" x14ac:dyDescent="0.3">
      <c r="A7" s="6"/>
      <c r="B7" s="6"/>
      <c r="C7" s="6"/>
      <c r="D7" s="6"/>
      <c r="E7" s="6"/>
      <c r="F7" s="6"/>
      <c r="G7" s="6"/>
    </row>
    <row r="8" spans="1:7" ht="18" customHeight="1" x14ac:dyDescent="0.3">
      <c r="A8" s="6"/>
      <c r="B8" s="9" t="s">
        <v>1</v>
      </c>
      <c r="C8" s="6"/>
      <c r="D8" s="6"/>
      <c r="E8" s="6"/>
      <c r="F8" s="6"/>
      <c r="G8" s="6"/>
    </row>
    <row r="9" spans="1:7" ht="18" customHeight="1" x14ac:dyDescent="0.3">
      <c r="A9" s="6"/>
      <c r="B9" s="6"/>
      <c r="C9" s="6"/>
      <c r="D9" s="6"/>
      <c r="E9" s="6"/>
      <c r="F9" s="6"/>
      <c r="G9" s="6"/>
    </row>
    <row r="10" spans="1:7" ht="18" customHeight="1" x14ac:dyDescent="0.3">
      <c r="A10" s="6"/>
      <c r="B10" s="10" t="s">
        <v>234</v>
      </c>
      <c r="C10" s="6"/>
      <c r="D10" s="6"/>
      <c r="E10" s="6"/>
      <c r="F10" s="6"/>
      <c r="G10" s="6"/>
    </row>
    <row r="11" spans="1:7" ht="18" customHeight="1" x14ac:dyDescent="0.3">
      <c r="A11" s="6"/>
      <c r="B11" s="6"/>
      <c r="C11" s="6"/>
      <c r="D11" s="6"/>
      <c r="E11" s="6"/>
      <c r="F11" s="6"/>
      <c r="G11" s="6"/>
    </row>
    <row r="12" spans="1:7" ht="18" customHeight="1" x14ac:dyDescent="0.3"/>
    <row r="13" spans="1:7" ht="18" customHeight="1" x14ac:dyDescent="0.3"/>
    <row r="14" spans="1:7" ht="18" customHeight="1" x14ac:dyDescent="0.3">
      <c r="B14" s="11" t="s">
        <v>2</v>
      </c>
    </row>
    <row r="15" spans="1:7" ht="18" customHeight="1" x14ac:dyDescent="0.3"/>
    <row r="16" spans="1:7" ht="18" customHeight="1" x14ac:dyDescent="0.3">
      <c r="B16" s="12" t="s">
        <v>3</v>
      </c>
      <c r="C16" s="13" t="s">
        <v>235</v>
      </c>
    </row>
    <row r="17" spans="2:3" ht="18" customHeight="1" x14ac:dyDescent="0.3">
      <c r="B17" s="12" t="s">
        <v>4</v>
      </c>
      <c r="C17" s="13" t="s">
        <v>5</v>
      </c>
    </row>
    <row r="18" spans="2:3" ht="18" customHeight="1" x14ac:dyDescent="0.3">
      <c r="B18" s="12" t="s">
        <v>6</v>
      </c>
      <c r="C18" s="13" t="s">
        <v>236</v>
      </c>
    </row>
    <row r="19" spans="2:3" ht="18" customHeight="1" x14ac:dyDescent="0.3">
      <c r="B19" s="12" t="s">
        <v>7</v>
      </c>
      <c r="C19" s="13" t="s">
        <v>8</v>
      </c>
    </row>
    <row r="20" spans="2:3" x14ac:dyDescent="0.3">
      <c r="B20" s="12" t="s">
        <v>9</v>
      </c>
      <c r="C20" s="13" t="s">
        <v>10</v>
      </c>
    </row>
    <row r="21" spans="2:3" x14ac:dyDescent="0.3">
      <c r="B21" s="12" t="s">
        <v>11</v>
      </c>
      <c r="C21" s="13" t="s">
        <v>12</v>
      </c>
    </row>
    <row r="22" spans="2:3" x14ac:dyDescent="0.3">
      <c r="B22" s="12" t="s">
        <v>13</v>
      </c>
      <c r="C22" s="13" t="s">
        <v>14</v>
      </c>
    </row>
    <row r="23" spans="2:3" x14ac:dyDescent="0.3">
      <c r="B23" s="12" t="s">
        <v>15</v>
      </c>
      <c r="C23" s="13" t="s">
        <v>16</v>
      </c>
    </row>
    <row r="24" spans="2:3" x14ac:dyDescent="0.3">
      <c r="B24" s="12" t="s">
        <v>17</v>
      </c>
      <c r="C24" s="13" t="s">
        <v>18</v>
      </c>
    </row>
    <row r="27" spans="2:3" x14ac:dyDescent="0.3">
      <c r="B27" s="14" t="s">
        <v>19</v>
      </c>
    </row>
    <row r="28" spans="2:3" x14ac:dyDescent="0.3">
      <c r="B28" s="15" t="s">
        <v>20</v>
      </c>
      <c r="C28" s="13" t="s">
        <v>21</v>
      </c>
    </row>
    <row r="29" spans="2:3" x14ac:dyDescent="0.3">
      <c r="B29" s="16" t="s">
        <v>20</v>
      </c>
      <c r="C29" s="13" t="s">
        <v>22</v>
      </c>
    </row>
    <row r="30" spans="2:3" x14ac:dyDescent="0.3">
      <c r="B30" s="17" t="s">
        <v>20</v>
      </c>
      <c r="C30" s="13" t="s">
        <v>23</v>
      </c>
    </row>
    <row r="31" spans="2:3" x14ac:dyDescent="0.3">
      <c r="B31" s="18" t="s">
        <v>20</v>
      </c>
      <c r="C31" s="13" t="s">
        <v>237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"/>
  <sheetViews>
    <sheetView showGridLines="0" topLeftCell="A13" zoomScaleNormal="100" workbookViewId="0">
      <selection sqref="A1:H1"/>
    </sheetView>
  </sheetViews>
  <sheetFormatPr defaultColWidth="8.6640625" defaultRowHeight="14.4" x14ac:dyDescent="0.3"/>
  <cols>
    <col min="1" max="1" width="30" customWidth="1"/>
    <col min="2" max="7" width="16" customWidth="1"/>
    <col min="8" max="8" width="35" customWidth="1"/>
  </cols>
  <sheetData>
    <row r="1" spans="1:8" ht="27.75" customHeight="1" x14ac:dyDescent="0.3">
      <c r="A1" s="5" t="s">
        <v>24</v>
      </c>
      <c r="B1" s="5"/>
      <c r="C1" s="5"/>
      <c r="D1" s="5"/>
      <c r="E1" s="5"/>
      <c r="F1" s="5"/>
      <c r="G1" s="5"/>
      <c r="H1" s="5"/>
    </row>
    <row r="2" spans="1:8" x14ac:dyDescent="0.3">
      <c r="A2" s="4" t="s">
        <v>25</v>
      </c>
      <c r="B2" s="4"/>
      <c r="C2" s="4"/>
      <c r="D2" s="4"/>
      <c r="E2" s="4"/>
      <c r="F2" s="4"/>
      <c r="G2" s="4"/>
      <c r="H2" s="4"/>
    </row>
    <row r="4" spans="1:8" x14ac:dyDescent="0.3">
      <c r="A4" s="19" t="s">
        <v>26</v>
      </c>
      <c r="B4" s="20" t="s">
        <v>27</v>
      </c>
      <c r="C4" s="20" t="s">
        <v>28</v>
      </c>
      <c r="D4" s="20" t="s">
        <v>29</v>
      </c>
      <c r="E4" s="20" t="s">
        <v>30</v>
      </c>
      <c r="F4" s="20" t="s">
        <v>31</v>
      </c>
      <c r="G4" s="20" t="s">
        <v>32</v>
      </c>
      <c r="H4" s="19" t="s">
        <v>33</v>
      </c>
    </row>
    <row r="5" spans="1:8" ht="15.75" customHeight="1" x14ac:dyDescent="0.3">
      <c r="A5" s="3" t="s">
        <v>34</v>
      </c>
      <c r="B5" s="3"/>
      <c r="C5" s="3"/>
      <c r="D5" s="3"/>
      <c r="E5" s="3"/>
      <c r="F5" s="3"/>
      <c r="G5" s="3"/>
      <c r="H5" s="3"/>
    </row>
    <row r="6" spans="1:8" x14ac:dyDescent="0.3">
      <c r="A6" s="21" t="s">
        <v>35</v>
      </c>
      <c r="B6" s="22">
        <v>3600</v>
      </c>
      <c r="C6" s="22">
        <v>3600</v>
      </c>
      <c r="D6" s="22">
        <v>3780</v>
      </c>
      <c r="E6" s="22">
        <v>3969</v>
      </c>
      <c r="F6" s="22">
        <v>4167</v>
      </c>
      <c r="G6" s="22">
        <v>4376</v>
      </c>
      <c r="H6" s="23" t="s">
        <v>36</v>
      </c>
    </row>
    <row r="7" spans="1:8" x14ac:dyDescent="0.3">
      <c r="A7" s="21" t="s">
        <v>37</v>
      </c>
      <c r="B7" s="22">
        <v>9600</v>
      </c>
      <c r="C7" s="22">
        <v>9600</v>
      </c>
      <c r="D7" s="22">
        <v>10080</v>
      </c>
      <c r="E7" s="22">
        <v>10584</v>
      </c>
      <c r="F7" s="22">
        <v>11113</v>
      </c>
      <c r="G7" s="22">
        <v>11669</v>
      </c>
      <c r="H7" s="23" t="s">
        <v>38</v>
      </c>
    </row>
    <row r="8" spans="1:8" x14ac:dyDescent="0.3">
      <c r="A8" s="24" t="s">
        <v>39</v>
      </c>
      <c r="B8" s="25">
        <v>24000</v>
      </c>
      <c r="C8" s="25">
        <v>24000</v>
      </c>
      <c r="D8" s="25">
        <v>25200</v>
      </c>
      <c r="E8" s="25">
        <v>26460</v>
      </c>
      <c r="F8" s="25">
        <v>27783</v>
      </c>
      <c r="G8" s="25">
        <v>29172</v>
      </c>
      <c r="H8" s="23" t="s">
        <v>40</v>
      </c>
    </row>
    <row r="9" spans="1:8" ht="15.75" customHeight="1" x14ac:dyDescent="0.3">
      <c r="A9" s="3" t="s">
        <v>41</v>
      </c>
      <c r="B9" s="3"/>
      <c r="C9" s="3"/>
      <c r="D9" s="3"/>
      <c r="E9" s="3"/>
      <c r="F9" s="3"/>
      <c r="G9" s="3"/>
      <c r="H9" s="3"/>
    </row>
    <row r="10" spans="1:8" x14ac:dyDescent="0.3">
      <c r="A10" s="21" t="s">
        <v>42</v>
      </c>
      <c r="B10" s="26">
        <v>320</v>
      </c>
      <c r="C10" s="26">
        <v>480</v>
      </c>
      <c r="D10" s="26">
        <v>680</v>
      </c>
      <c r="E10" s="26">
        <v>900</v>
      </c>
      <c r="F10" s="26">
        <v>1100</v>
      </c>
      <c r="G10" s="26">
        <v>1280</v>
      </c>
      <c r="H10" s="23" t="s">
        <v>43</v>
      </c>
    </row>
    <row r="11" spans="1:8" x14ac:dyDescent="0.3">
      <c r="A11" s="21" t="s">
        <v>44</v>
      </c>
      <c r="B11" s="26">
        <v>110</v>
      </c>
      <c r="C11" s="26">
        <v>175</v>
      </c>
      <c r="D11" s="26">
        <v>255</v>
      </c>
      <c r="E11" s="26">
        <v>340</v>
      </c>
      <c r="F11" s="26">
        <v>420</v>
      </c>
      <c r="G11" s="26">
        <v>490</v>
      </c>
      <c r="H11" s="23" t="s">
        <v>45</v>
      </c>
    </row>
    <row r="12" spans="1:8" x14ac:dyDescent="0.3">
      <c r="A12" s="24" t="s">
        <v>46</v>
      </c>
      <c r="B12" s="27">
        <v>28</v>
      </c>
      <c r="C12" s="27">
        <v>45</v>
      </c>
      <c r="D12" s="27">
        <v>68</v>
      </c>
      <c r="E12" s="27">
        <v>95</v>
      </c>
      <c r="F12" s="27">
        <v>125</v>
      </c>
      <c r="G12" s="27">
        <v>150</v>
      </c>
      <c r="H12" s="23" t="s">
        <v>47</v>
      </c>
    </row>
    <row r="13" spans="1:8" ht="15.75" customHeight="1" x14ac:dyDescent="0.3">
      <c r="A13" s="3" t="s">
        <v>48</v>
      </c>
      <c r="B13" s="3"/>
      <c r="C13" s="3"/>
      <c r="D13" s="3"/>
      <c r="E13" s="3"/>
      <c r="F13" s="3"/>
      <c r="G13" s="3"/>
      <c r="H13" s="3"/>
    </row>
    <row r="14" spans="1:8" x14ac:dyDescent="0.3">
      <c r="A14" s="21" t="s">
        <v>49</v>
      </c>
      <c r="B14" s="28">
        <v>0.18</v>
      </c>
      <c r="C14" s="28">
        <v>0.16</v>
      </c>
      <c r="D14" s="28">
        <v>0.14000000000000001</v>
      </c>
      <c r="E14" s="28">
        <v>0.12</v>
      </c>
      <c r="F14" s="28">
        <v>0.11</v>
      </c>
      <c r="G14" s="28">
        <v>0.1</v>
      </c>
      <c r="H14" s="23" t="s">
        <v>50</v>
      </c>
    </row>
    <row r="15" spans="1:8" x14ac:dyDescent="0.3">
      <c r="A15" s="24" t="s">
        <v>51</v>
      </c>
      <c r="B15" s="29">
        <v>1.05</v>
      </c>
      <c r="C15" s="29">
        <v>1.08</v>
      </c>
      <c r="D15" s="29">
        <v>1.1000000000000001</v>
      </c>
      <c r="E15" s="29">
        <v>1.1200000000000001</v>
      </c>
      <c r="F15" s="29">
        <v>1.1399999999999999</v>
      </c>
      <c r="G15" s="29">
        <v>1.1499999999999999</v>
      </c>
      <c r="H15" s="23" t="s">
        <v>52</v>
      </c>
    </row>
    <row r="16" spans="1:8" ht="15.75" customHeight="1" x14ac:dyDescent="0.3">
      <c r="A16" s="3" t="s">
        <v>53</v>
      </c>
      <c r="B16" s="3"/>
      <c r="C16" s="3"/>
      <c r="D16" s="3"/>
      <c r="E16" s="3"/>
      <c r="F16" s="3"/>
      <c r="G16" s="3"/>
      <c r="H16" s="3"/>
    </row>
    <row r="17" spans="1:8" x14ac:dyDescent="0.3">
      <c r="A17" s="21" t="s">
        <v>54</v>
      </c>
      <c r="B17" s="28">
        <v>0.08</v>
      </c>
      <c r="C17" s="28">
        <v>7.0000000000000007E-2</v>
      </c>
      <c r="D17" s="28">
        <v>6.5000000000000002E-2</v>
      </c>
      <c r="E17" s="28">
        <v>0.06</v>
      </c>
      <c r="F17" s="28">
        <v>5.5E-2</v>
      </c>
      <c r="G17" s="28">
        <v>0.05</v>
      </c>
      <c r="H17" s="23" t="s">
        <v>55</v>
      </c>
    </row>
    <row r="18" spans="1:8" x14ac:dyDescent="0.3">
      <c r="A18" s="21" t="s">
        <v>56</v>
      </c>
      <c r="B18" s="28">
        <v>0.1</v>
      </c>
      <c r="C18" s="28">
        <v>0.09</v>
      </c>
      <c r="D18" s="28">
        <v>8.5000000000000006E-2</v>
      </c>
      <c r="E18" s="28">
        <v>0.08</v>
      </c>
      <c r="F18" s="28">
        <v>7.4999999999999997E-2</v>
      </c>
      <c r="G18" s="28">
        <v>7.0000000000000007E-2</v>
      </c>
      <c r="H18" s="23" t="s">
        <v>57</v>
      </c>
    </row>
    <row r="19" spans="1:8" x14ac:dyDescent="0.3">
      <c r="A19" s="21" t="s">
        <v>58</v>
      </c>
      <c r="B19" s="28">
        <v>0.06</v>
      </c>
      <c r="C19" s="28">
        <v>5.5E-2</v>
      </c>
      <c r="D19" s="28">
        <v>0.05</v>
      </c>
      <c r="E19" s="28">
        <v>4.4999999999999998E-2</v>
      </c>
      <c r="F19" s="28">
        <v>0.04</v>
      </c>
      <c r="G19" s="28">
        <v>3.7999999999999999E-2</v>
      </c>
      <c r="H19" s="23" t="s">
        <v>59</v>
      </c>
    </row>
    <row r="20" spans="1:8" ht="15.75" customHeight="1" x14ac:dyDescent="0.3">
      <c r="A20" s="3" t="s">
        <v>60</v>
      </c>
      <c r="B20" s="3"/>
      <c r="C20" s="3"/>
      <c r="D20" s="3"/>
      <c r="E20" s="3"/>
      <c r="F20" s="3"/>
      <c r="G20" s="3"/>
      <c r="H20" s="3"/>
    </row>
    <row r="21" spans="1:8" x14ac:dyDescent="0.3">
      <c r="A21" s="24" t="s">
        <v>61</v>
      </c>
      <c r="B21" s="29">
        <v>0.32</v>
      </c>
      <c r="C21" s="29">
        <v>0.28000000000000003</v>
      </c>
      <c r="D21" s="29">
        <v>0.25</v>
      </c>
      <c r="E21" s="29">
        <v>0.22</v>
      </c>
      <c r="F21" s="29">
        <v>0.2</v>
      </c>
      <c r="G21" s="29">
        <v>0.18</v>
      </c>
      <c r="H21" s="23" t="s">
        <v>62</v>
      </c>
    </row>
    <row r="22" spans="1:8" x14ac:dyDescent="0.3">
      <c r="A22" s="21" t="s">
        <v>63</v>
      </c>
      <c r="B22" s="28">
        <v>0.38</v>
      </c>
      <c r="C22" s="28">
        <v>0.34</v>
      </c>
      <c r="D22" s="28">
        <v>0.3</v>
      </c>
      <c r="E22" s="28">
        <v>0.27</v>
      </c>
      <c r="F22" s="28">
        <v>0.25</v>
      </c>
      <c r="G22" s="28">
        <v>0.23</v>
      </c>
      <c r="H22" s="23" t="s">
        <v>64</v>
      </c>
    </row>
    <row r="23" spans="1:8" x14ac:dyDescent="0.3">
      <c r="A23" s="21" t="s">
        <v>65</v>
      </c>
      <c r="B23" s="28">
        <v>0.14000000000000001</v>
      </c>
      <c r="C23" s="28">
        <v>0.12</v>
      </c>
      <c r="D23" s="28">
        <v>0.1</v>
      </c>
      <c r="E23" s="28">
        <v>0.09</v>
      </c>
      <c r="F23" s="28">
        <v>0.08</v>
      </c>
      <c r="G23" s="28">
        <v>7.4999999999999997E-2</v>
      </c>
      <c r="H23" s="23" t="s">
        <v>66</v>
      </c>
    </row>
    <row r="24" spans="1:8" ht="15.75" customHeight="1" x14ac:dyDescent="0.3">
      <c r="A24" s="3" t="s">
        <v>67</v>
      </c>
      <c r="B24" s="3"/>
      <c r="C24" s="3"/>
      <c r="D24" s="3"/>
      <c r="E24" s="3"/>
      <c r="F24" s="3"/>
      <c r="G24" s="3"/>
      <c r="H24" s="3"/>
    </row>
    <row r="25" spans="1:8" x14ac:dyDescent="0.3">
      <c r="A25" s="24" t="s">
        <v>68</v>
      </c>
      <c r="B25" s="25">
        <v>4200</v>
      </c>
      <c r="C25" s="25">
        <v>3900</v>
      </c>
      <c r="D25" s="25">
        <v>3600</v>
      </c>
      <c r="E25" s="25">
        <v>3300</v>
      </c>
      <c r="F25" s="25">
        <v>3100</v>
      </c>
      <c r="G25" s="25">
        <v>2900</v>
      </c>
      <c r="H25" s="23" t="s">
        <v>69</v>
      </c>
    </row>
    <row r="26" spans="1:8" x14ac:dyDescent="0.3">
      <c r="A26" s="21" t="s">
        <v>70</v>
      </c>
      <c r="B26" s="30">
        <v>1</v>
      </c>
      <c r="C26" s="30">
        <v>1</v>
      </c>
      <c r="D26" s="30">
        <v>1.2</v>
      </c>
      <c r="E26" s="30">
        <v>1.5</v>
      </c>
      <c r="F26" s="30">
        <v>1.5</v>
      </c>
      <c r="G26" s="30">
        <v>2</v>
      </c>
      <c r="H26" s="23" t="s">
        <v>71</v>
      </c>
    </row>
    <row r="27" spans="1:8" ht="15.75" customHeight="1" x14ac:dyDescent="0.3">
      <c r="A27" s="3" t="s">
        <v>72</v>
      </c>
      <c r="B27" s="3"/>
      <c r="C27" s="3"/>
      <c r="D27" s="3"/>
      <c r="E27" s="3"/>
      <c r="F27" s="3"/>
      <c r="G27" s="3"/>
      <c r="H27" s="3"/>
    </row>
    <row r="28" spans="1:8" x14ac:dyDescent="0.3">
      <c r="A28" s="21" t="s">
        <v>73</v>
      </c>
      <c r="B28" s="30">
        <v>35</v>
      </c>
      <c r="C28" s="30">
        <v>32</v>
      </c>
      <c r="D28" s="30">
        <v>30</v>
      </c>
      <c r="E28" s="30">
        <v>28</v>
      </c>
      <c r="F28" s="30">
        <v>28</v>
      </c>
      <c r="G28" s="30">
        <v>28</v>
      </c>
      <c r="H28" s="23" t="s">
        <v>74</v>
      </c>
    </row>
    <row r="29" spans="1:8" x14ac:dyDescent="0.3">
      <c r="A29" s="21" t="s">
        <v>75</v>
      </c>
      <c r="B29" s="28">
        <v>0.03</v>
      </c>
      <c r="C29" s="28">
        <v>2.5000000000000001E-2</v>
      </c>
      <c r="D29" s="28">
        <v>0.02</v>
      </c>
      <c r="E29" s="28">
        <v>0.02</v>
      </c>
      <c r="F29" s="28">
        <v>1.7999999999999999E-2</v>
      </c>
      <c r="G29" s="28">
        <v>1.4999999999999999E-2</v>
      </c>
      <c r="H29" s="23" t="s">
        <v>76</v>
      </c>
    </row>
    <row r="30" spans="1:8" x14ac:dyDescent="0.3">
      <c r="A30" s="21" t="s">
        <v>77</v>
      </c>
      <c r="B30" s="28">
        <v>0</v>
      </c>
      <c r="C30" s="28">
        <v>0</v>
      </c>
      <c r="D30" s="28">
        <v>0</v>
      </c>
      <c r="E30" s="28">
        <v>0.21</v>
      </c>
      <c r="F30" s="28">
        <v>0.21</v>
      </c>
      <c r="G30" s="28">
        <v>0.21</v>
      </c>
      <c r="H30" s="23" t="s">
        <v>78</v>
      </c>
    </row>
    <row r="31" spans="1:8" x14ac:dyDescent="0.3">
      <c r="A31" s="21" t="s">
        <v>79</v>
      </c>
      <c r="B31" s="26">
        <v>5000</v>
      </c>
      <c r="C31" s="26"/>
      <c r="D31" s="26"/>
      <c r="E31" s="26"/>
      <c r="F31" s="26"/>
      <c r="G31" s="26"/>
      <c r="H31" s="23" t="s">
        <v>80</v>
      </c>
    </row>
  </sheetData>
  <mergeCells count="9">
    <mergeCell ref="A16:H16"/>
    <mergeCell ref="A20:H20"/>
    <mergeCell ref="A24:H24"/>
    <mergeCell ref="A27:H27"/>
    <mergeCell ref="A1:H1"/>
    <mergeCell ref="A2:H2"/>
    <mergeCell ref="A5:H5"/>
    <mergeCell ref="A9:H9"/>
    <mergeCell ref="A13:H1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"/>
  <sheetViews>
    <sheetView showGridLines="0" zoomScaleNormal="100" workbookViewId="0">
      <selection sqref="A1:H1"/>
    </sheetView>
  </sheetViews>
  <sheetFormatPr defaultColWidth="8.6640625" defaultRowHeight="14.4" x14ac:dyDescent="0.3"/>
  <cols>
    <col min="1" max="1" width="34" customWidth="1"/>
    <col min="2" max="7" width="15" customWidth="1"/>
    <col min="8" max="8" width="22" customWidth="1"/>
  </cols>
  <sheetData>
    <row r="1" spans="1:8" ht="27.75" customHeight="1" x14ac:dyDescent="0.3">
      <c r="A1" s="5" t="s">
        <v>81</v>
      </c>
      <c r="B1" s="5"/>
      <c r="C1" s="5"/>
      <c r="D1" s="5"/>
      <c r="E1" s="5"/>
      <c r="F1" s="5"/>
      <c r="G1" s="5"/>
      <c r="H1" s="5"/>
    </row>
    <row r="3" spans="1:8" x14ac:dyDescent="0.3">
      <c r="A3" s="19" t="s">
        <v>82</v>
      </c>
      <c r="B3" s="20" t="s">
        <v>27</v>
      </c>
      <c r="C3" s="20" t="s">
        <v>28</v>
      </c>
      <c r="D3" s="20" t="s">
        <v>29</v>
      </c>
      <c r="E3" s="20" t="s">
        <v>30</v>
      </c>
      <c r="F3" s="20" t="s">
        <v>31</v>
      </c>
      <c r="G3" s="20" t="s">
        <v>32</v>
      </c>
      <c r="H3" s="19" t="s">
        <v>33</v>
      </c>
    </row>
    <row r="4" spans="1:8" x14ac:dyDescent="0.3">
      <c r="A4" s="3" t="s">
        <v>83</v>
      </c>
      <c r="B4" s="3"/>
      <c r="C4" s="3"/>
      <c r="D4" s="3"/>
      <c r="E4" s="3"/>
      <c r="F4" s="3"/>
      <c r="G4" s="3"/>
      <c r="H4" s="3"/>
    </row>
    <row r="5" spans="1:8" x14ac:dyDescent="0.3">
      <c r="A5" s="31" t="s">
        <v>84</v>
      </c>
      <c r="B5" s="32">
        <v>320</v>
      </c>
      <c r="C5" s="32">
        <v>480</v>
      </c>
      <c r="D5" s="32">
        <v>680</v>
      </c>
      <c r="E5" s="32">
        <v>900</v>
      </c>
      <c r="F5" s="32">
        <v>1100</v>
      </c>
      <c r="G5" s="32">
        <v>1280</v>
      </c>
      <c r="H5" s="23" t="s">
        <v>85</v>
      </c>
    </row>
    <row r="6" spans="1:8" x14ac:dyDescent="0.3">
      <c r="A6" s="31" t="s">
        <v>86</v>
      </c>
      <c r="B6" s="33">
        <v>3600</v>
      </c>
      <c r="C6" s="33">
        <v>3600</v>
      </c>
      <c r="D6" s="33">
        <v>3780</v>
      </c>
      <c r="E6" s="33">
        <v>3969</v>
      </c>
      <c r="F6" s="33">
        <v>4167</v>
      </c>
      <c r="G6" s="33">
        <v>4376</v>
      </c>
      <c r="H6" s="23" t="s">
        <v>87</v>
      </c>
    </row>
    <row r="7" spans="1:8" x14ac:dyDescent="0.3">
      <c r="A7" s="21" t="s">
        <v>88</v>
      </c>
      <c r="B7" s="34">
        <f t="shared" ref="B7:G7" si="0">B5*B6/1000</f>
        <v>1152</v>
      </c>
      <c r="C7" s="34">
        <f t="shared" si="0"/>
        <v>1728</v>
      </c>
      <c r="D7" s="34">
        <f t="shared" si="0"/>
        <v>2570.4</v>
      </c>
      <c r="E7" s="34">
        <f t="shared" si="0"/>
        <v>3572.1</v>
      </c>
      <c r="F7" s="34">
        <f t="shared" si="0"/>
        <v>4583.7</v>
      </c>
      <c r="G7" s="34">
        <f t="shared" si="0"/>
        <v>5601.28</v>
      </c>
      <c r="H7" s="23" t="s">
        <v>89</v>
      </c>
    </row>
    <row r="8" spans="1:8" x14ac:dyDescent="0.3">
      <c r="A8" s="3" t="s">
        <v>90</v>
      </c>
      <c r="B8" s="3"/>
      <c r="C8" s="3"/>
      <c r="D8" s="3"/>
      <c r="E8" s="3"/>
      <c r="F8" s="3"/>
      <c r="G8" s="3"/>
      <c r="H8" s="3"/>
    </row>
    <row r="9" spans="1:8" x14ac:dyDescent="0.3">
      <c r="A9" s="31" t="s">
        <v>84</v>
      </c>
      <c r="B9" s="32">
        <v>110</v>
      </c>
      <c r="C9" s="32">
        <v>175</v>
      </c>
      <c r="D9" s="32">
        <v>255</v>
      </c>
      <c r="E9" s="32">
        <v>340</v>
      </c>
      <c r="F9" s="32">
        <v>420</v>
      </c>
      <c r="G9" s="32">
        <v>490</v>
      </c>
      <c r="H9" s="23"/>
    </row>
    <row r="10" spans="1:8" x14ac:dyDescent="0.3">
      <c r="A10" s="31" t="s">
        <v>86</v>
      </c>
      <c r="B10" s="33">
        <v>9600</v>
      </c>
      <c r="C10" s="33">
        <v>9600</v>
      </c>
      <c r="D10" s="33">
        <v>10080</v>
      </c>
      <c r="E10" s="33">
        <v>10584</v>
      </c>
      <c r="F10" s="33">
        <v>11113</v>
      </c>
      <c r="G10" s="33">
        <v>11669</v>
      </c>
      <c r="H10" s="23"/>
    </row>
    <row r="11" spans="1:8" x14ac:dyDescent="0.3">
      <c r="A11" s="21" t="s">
        <v>91</v>
      </c>
      <c r="B11" s="34">
        <f t="shared" ref="B11:G11" si="1">B9*B10/1000</f>
        <v>1056</v>
      </c>
      <c r="C11" s="34">
        <f t="shared" si="1"/>
        <v>1680</v>
      </c>
      <c r="D11" s="34">
        <f t="shared" si="1"/>
        <v>2570.4</v>
      </c>
      <c r="E11" s="34">
        <f t="shared" si="1"/>
        <v>3598.56</v>
      </c>
      <c r="F11" s="34">
        <f t="shared" si="1"/>
        <v>4667.46</v>
      </c>
      <c r="G11" s="34">
        <f t="shared" si="1"/>
        <v>5717.81</v>
      </c>
      <c r="H11" s="23"/>
    </row>
    <row r="12" spans="1:8" x14ac:dyDescent="0.3">
      <c r="A12" s="3" t="s">
        <v>92</v>
      </c>
      <c r="B12" s="3"/>
      <c r="C12" s="3"/>
      <c r="D12" s="3"/>
      <c r="E12" s="3"/>
      <c r="F12" s="3"/>
      <c r="G12" s="3"/>
      <c r="H12" s="3"/>
    </row>
    <row r="13" spans="1:8" x14ac:dyDescent="0.3">
      <c r="A13" s="31" t="s">
        <v>84</v>
      </c>
      <c r="B13" s="32">
        <v>28</v>
      </c>
      <c r="C13" s="32">
        <v>45</v>
      </c>
      <c r="D13" s="32">
        <v>68</v>
      </c>
      <c r="E13" s="32">
        <v>95</v>
      </c>
      <c r="F13" s="32">
        <v>125</v>
      </c>
      <c r="G13" s="32">
        <v>150</v>
      </c>
      <c r="H13" s="23"/>
    </row>
    <row r="14" spans="1:8" x14ac:dyDescent="0.3">
      <c r="A14" s="31" t="s">
        <v>86</v>
      </c>
      <c r="B14" s="33">
        <v>24000</v>
      </c>
      <c r="C14" s="33">
        <v>24000</v>
      </c>
      <c r="D14" s="33">
        <v>25200</v>
      </c>
      <c r="E14" s="33">
        <v>26460</v>
      </c>
      <c r="F14" s="33">
        <v>27783</v>
      </c>
      <c r="G14" s="33">
        <v>29172</v>
      </c>
      <c r="H14" s="23"/>
    </row>
    <row r="15" spans="1:8" x14ac:dyDescent="0.3">
      <c r="A15" s="21" t="s">
        <v>93</v>
      </c>
      <c r="B15" s="34">
        <f t="shared" ref="B15:G15" si="2">B13*B14/1000</f>
        <v>672</v>
      </c>
      <c r="C15" s="34">
        <f t="shared" si="2"/>
        <v>1080</v>
      </c>
      <c r="D15" s="34">
        <f t="shared" si="2"/>
        <v>1713.6</v>
      </c>
      <c r="E15" s="34">
        <f t="shared" si="2"/>
        <v>2513.6999999999998</v>
      </c>
      <c r="F15" s="34">
        <f t="shared" si="2"/>
        <v>3472.875</v>
      </c>
      <c r="G15" s="34">
        <f t="shared" si="2"/>
        <v>4375.8</v>
      </c>
      <c r="H15" s="23"/>
    </row>
    <row r="16" spans="1:8" x14ac:dyDescent="0.3">
      <c r="A16" s="3" t="s">
        <v>94</v>
      </c>
      <c r="B16" s="3"/>
      <c r="C16" s="3"/>
      <c r="D16" s="3"/>
      <c r="E16" s="3"/>
      <c r="F16" s="3"/>
      <c r="G16" s="3"/>
      <c r="H16" s="3"/>
    </row>
    <row r="17" spans="1:8" x14ac:dyDescent="0.3">
      <c r="A17" s="35" t="s">
        <v>95</v>
      </c>
      <c r="B17" s="36">
        <f t="shared" ref="B17:G17" si="3">B7+B11+B15</f>
        <v>2880</v>
      </c>
      <c r="C17" s="36">
        <f t="shared" si="3"/>
        <v>4488</v>
      </c>
      <c r="D17" s="36">
        <f t="shared" si="3"/>
        <v>6854.4</v>
      </c>
      <c r="E17" s="36">
        <f t="shared" si="3"/>
        <v>9684.36</v>
      </c>
      <c r="F17" s="36">
        <f t="shared" si="3"/>
        <v>12724.035</v>
      </c>
      <c r="G17" s="36">
        <f t="shared" si="3"/>
        <v>15694.89</v>
      </c>
      <c r="H17" s="23" t="s">
        <v>96</v>
      </c>
    </row>
    <row r="18" spans="1:8" x14ac:dyDescent="0.3">
      <c r="A18" s="21" t="s">
        <v>97</v>
      </c>
      <c r="B18" s="37">
        <f t="shared" ref="B18:G18" si="4">B5+B9+B13</f>
        <v>458</v>
      </c>
      <c r="C18" s="37">
        <f t="shared" si="4"/>
        <v>700</v>
      </c>
      <c r="D18" s="37">
        <f t="shared" si="4"/>
        <v>1003</v>
      </c>
      <c r="E18" s="37">
        <f t="shared" si="4"/>
        <v>1335</v>
      </c>
      <c r="F18" s="37">
        <f t="shared" si="4"/>
        <v>1645</v>
      </c>
      <c r="G18" s="37">
        <f t="shared" si="4"/>
        <v>1920</v>
      </c>
      <c r="H18" s="23" t="s">
        <v>98</v>
      </c>
    </row>
    <row r="19" spans="1:8" x14ac:dyDescent="0.3">
      <c r="A19" s="21" t="s">
        <v>99</v>
      </c>
      <c r="B19" s="34">
        <f t="shared" ref="B19:G19" si="5">B17</f>
        <v>2880</v>
      </c>
      <c r="C19" s="34">
        <f t="shared" si="5"/>
        <v>4488</v>
      </c>
      <c r="D19" s="34">
        <f t="shared" si="5"/>
        <v>6854.4</v>
      </c>
      <c r="E19" s="34">
        <f t="shared" si="5"/>
        <v>9684.36</v>
      </c>
      <c r="F19" s="34">
        <f t="shared" si="5"/>
        <v>12724.035</v>
      </c>
      <c r="G19" s="34">
        <f t="shared" si="5"/>
        <v>15694.89</v>
      </c>
      <c r="H19" s="23" t="s">
        <v>100</v>
      </c>
    </row>
    <row r="20" spans="1:8" x14ac:dyDescent="0.3">
      <c r="A20" s="21" t="s">
        <v>101</v>
      </c>
      <c r="B20" s="38" t="s">
        <v>102</v>
      </c>
      <c r="C20" s="38">
        <f>IF(B17=0,"N/A",(C17-B17)/B17)</f>
        <v>0.55833333333333335</v>
      </c>
      <c r="D20" s="38">
        <f>(D17-C17)/C17</f>
        <v>0.52727272727272723</v>
      </c>
      <c r="E20" s="38">
        <f>(E17-D17)/D17</f>
        <v>0.41286764705882367</v>
      </c>
      <c r="F20" s="38">
        <f>(F17-E17)/E17</f>
        <v>0.31387463910883107</v>
      </c>
      <c r="G20" s="38">
        <f>(G17-F17)/F17</f>
        <v>0.2334837180186945</v>
      </c>
      <c r="H20" s="23" t="s">
        <v>103</v>
      </c>
    </row>
    <row r="21" spans="1:8" x14ac:dyDescent="0.3">
      <c r="A21" s="21" t="s">
        <v>104</v>
      </c>
      <c r="B21" s="34">
        <f t="shared" ref="B21:G21" si="6">B17/12</f>
        <v>240</v>
      </c>
      <c r="C21" s="34">
        <f t="shared" si="6"/>
        <v>374</v>
      </c>
      <c r="D21" s="34">
        <f t="shared" si="6"/>
        <v>571.19999999999993</v>
      </c>
      <c r="E21" s="34">
        <f t="shared" si="6"/>
        <v>807.03000000000009</v>
      </c>
      <c r="F21" s="34">
        <f t="shared" si="6"/>
        <v>1060.3362500000001</v>
      </c>
      <c r="G21" s="34">
        <f t="shared" si="6"/>
        <v>1307.9075</v>
      </c>
      <c r="H21" s="23" t="s">
        <v>105</v>
      </c>
    </row>
    <row r="22" spans="1:8" x14ac:dyDescent="0.3">
      <c r="A22" s="21" t="s">
        <v>106</v>
      </c>
      <c r="B22" s="34">
        <f t="shared" ref="B22:G22" si="7">IF(B18=0,0,B17*1000/B18)</f>
        <v>6288.2096069868994</v>
      </c>
      <c r="C22" s="34">
        <f t="shared" si="7"/>
        <v>6411.4285714285716</v>
      </c>
      <c r="D22" s="34">
        <f t="shared" si="7"/>
        <v>6833.8983050847455</v>
      </c>
      <c r="E22" s="34">
        <f t="shared" si="7"/>
        <v>7254.2022471910113</v>
      </c>
      <c r="F22" s="34">
        <f t="shared" si="7"/>
        <v>7734.9756838905778</v>
      </c>
      <c r="G22" s="34">
        <f t="shared" si="7"/>
        <v>8174.421875</v>
      </c>
      <c r="H22" s="23" t="s">
        <v>107</v>
      </c>
    </row>
  </sheetData>
  <mergeCells count="5">
    <mergeCell ref="A1:H1"/>
    <mergeCell ref="A4:H4"/>
    <mergeCell ref="A8:H8"/>
    <mergeCell ref="A12:H12"/>
    <mergeCell ref="A16:H1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6"/>
  <sheetViews>
    <sheetView showGridLines="0" zoomScaleNormal="100" workbookViewId="0">
      <selection sqref="A1:H1"/>
    </sheetView>
  </sheetViews>
  <sheetFormatPr defaultColWidth="8.6640625" defaultRowHeight="14.4" x14ac:dyDescent="0.3"/>
  <cols>
    <col min="1" max="1" width="34" customWidth="1"/>
    <col min="2" max="7" width="15" customWidth="1"/>
    <col min="8" max="8" width="22" customWidth="1"/>
  </cols>
  <sheetData>
    <row r="1" spans="1:8" ht="27.75" customHeight="1" x14ac:dyDescent="0.3">
      <c r="A1" s="5" t="s">
        <v>108</v>
      </c>
      <c r="B1" s="5"/>
      <c r="C1" s="5"/>
      <c r="D1" s="5"/>
      <c r="E1" s="5"/>
      <c r="F1" s="5"/>
      <c r="G1" s="5"/>
      <c r="H1" s="5"/>
    </row>
    <row r="2" spans="1:8" x14ac:dyDescent="0.3">
      <c r="A2" s="4" t="s">
        <v>109</v>
      </c>
      <c r="B2" s="4"/>
      <c r="C2" s="4"/>
      <c r="D2" s="4"/>
      <c r="E2" s="4"/>
      <c r="F2" s="4"/>
      <c r="G2" s="4"/>
      <c r="H2" s="4"/>
    </row>
    <row r="4" spans="1:8" x14ac:dyDescent="0.3">
      <c r="A4" s="19" t="s">
        <v>110</v>
      </c>
      <c r="B4" s="20" t="s">
        <v>27</v>
      </c>
      <c r="C4" s="20" t="s">
        <v>28</v>
      </c>
      <c r="D4" s="20" t="s">
        <v>29</v>
      </c>
      <c r="E4" s="20" t="s">
        <v>30</v>
      </c>
      <c r="F4" s="20" t="s">
        <v>31</v>
      </c>
      <c r="G4" s="20" t="s">
        <v>32</v>
      </c>
      <c r="H4" s="19" t="s">
        <v>111</v>
      </c>
    </row>
    <row r="5" spans="1:8" x14ac:dyDescent="0.3">
      <c r="A5" s="39" t="s">
        <v>112</v>
      </c>
      <c r="B5" s="40">
        <f>'Revenue Model'!B17</f>
        <v>2880</v>
      </c>
      <c r="C5" s="40">
        <f>'Revenue Model'!C17</f>
        <v>4488</v>
      </c>
      <c r="D5" s="40">
        <f>'Revenue Model'!D17</f>
        <v>6854.4</v>
      </c>
      <c r="E5" s="40">
        <f>'Revenue Model'!E17</f>
        <v>9684.36</v>
      </c>
      <c r="F5" s="40">
        <f>'Revenue Model'!F17</f>
        <v>12724.035</v>
      </c>
      <c r="G5" s="40">
        <f>'Revenue Model'!G17</f>
        <v>15694.89</v>
      </c>
      <c r="H5" s="23" t="s">
        <v>113</v>
      </c>
    </row>
    <row r="6" spans="1:8" x14ac:dyDescent="0.3">
      <c r="A6" s="3" t="s">
        <v>53</v>
      </c>
      <c r="B6" s="3"/>
      <c r="C6" s="3"/>
      <c r="D6" s="3"/>
      <c r="E6" s="3"/>
      <c r="F6" s="3"/>
      <c r="G6" s="3"/>
      <c r="H6" s="3"/>
    </row>
    <row r="7" spans="1:8" x14ac:dyDescent="0.3">
      <c r="A7" s="31" t="s">
        <v>114</v>
      </c>
      <c r="B7" s="41">
        <f>-B5*0.08</f>
        <v>-230.4</v>
      </c>
      <c r="C7" s="41">
        <f>-C5*0.07</f>
        <v>-314.16000000000003</v>
      </c>
      <c r="D7" s="41">
        <f>-D5*0.065</f>
        <v>-445.536</v>
      </c>
      <c r="E7" s="41">
        <f>-E5*0.06</f>
        <v>-581.0616</v>
      </c>
      <c r="F7" s="41">
        <f>-F5*0.055</f>
        <v>-699.82192499999996</v>
      </c>
      <c r="G7" s="41">
        <f>-G5*0.05</f>
        <v>-784.74450000000002</v>
      </c>
      <c r="H7" s="23" t="s">
        <v>115</v>
      </c>
    </row>
    <row r="8" spans="1:8" x14ac:dyDescent="0.3">
      <c r="A8" s="31" t="s">
        <v>116</v>
      </c>
      <c r="B8" s="41">
        <f>-B5*0.1</f>
        <v>-288</v>
      </c>
      <c r="C8" s="41">
        <f>-C5*0.09</f>
        <v>-403.91999999999996</v>
      </c>
      <c r="D8" s="41">
        <f>-D5*0.085</f>
        <v>-582.62400000000002</v>
      </c>
      <c r="E8" s="41">
        <f>-E5*0.08</f>
        <v>-774.74880000000007</v>
      </c>
      <c r="F8" s="41">
        <f>-F5*0.075</f>
        <v>-954.30262499999992</v>
      </c>
      <c r="G8" s="41">
        <f>-G5*0.07</f>
        <v>-1098.6423</v>
      </c>
      <c r="H8" s="23"/>
    </row>
    <row r="9" spans="1:8" x14ac:dyDescent="0.3">
      <c r="A9" s="31" t="s">
        <v>117</v>
      </c>
      <c r="B9" s="41">
        <f>-B5*0.06</f>
        <v>-172.79999999999998</v>
      </c>
      <c r="C9" s="41">
        <f>-C5*0.055</f>
        <v>-246.84</v>
      </c>
      <c r="D9" s="41">
        <f>-D5*0.05</f>
        <v>-342.72</v>
      </c>
      <c r="E9" s="41">
        <f>-E5*0.045</f>
        <v>-435.7962</v>
      </c>
      <c r="F9" s="41">
        <f>-F5*0.04</f>
        <v>-508.96140000000003</v>
      </c>
      <c r="G9" s="41">
        <f>-G5*0.038</f>
        <v>-596.40581999999995</v>
      </c>
      <c r="H9" s="23"/>
    </row>
    <row r="10" spans="1:8" x14ac:dyDescent="0.3">
      <c r="A10" s="42" t="s">
        <v>118</v>
      </c>
      <c r="B10" s="43">
        <f t="shared" ref="B10:G10" si="0">B7+B8+B9</f>
        <v>-691.19999999999993</v>
      </c>
      <c r="C10" s="43">
        <f t="shared" si="0"/>
        <v>-964.92</v>
      </c>
      <c r="D10" s="43">
        <f t="shared" si="0"/>
        <v>-1370.88</v>
      </c>
      <c r="E10" s="43">
        <f t="shared" si="0"/>
        <v>-1791.6066000000001</v>
      </c>
      <c r="F10" s="43">
        <f t="shared" si="0"/>
        <v>-2163.0859500000001</v>
      </c>
      <c r="G10" s="43">
        <f t="shared" si="0"/>
        <v>-2479.7926200000002</v>
      </c>
      <c r="H10" s="23"/>
    </row>
    <row r="11" spans="1:8" x14ac:dyDescent="0.3">
      <c r="A11" s="44" t="s">
        <v>119</v>
      </c>
      <c r="B11" s="45">
        <f t="shared" ref="B11:G11" si="1">B5+B10</f>
        <v>2188.8000000000002</v>
      </c>
      <c r="C11" s="45">
        <f t="shared" si="1"/>
        <v>3523.08</v>
      </c>
      <c r="D11" s="45">
        <f t="shared" si="1"/>
        <v>5483.5199999999995</v>
      </c>
      <c r="E11" s="45">
        <f t="shared" si="1"/>
        <v>7892.7534000000005</v>
      </c>
      <c r="F11" s="45">
        <f t="shared" si="1"/>
        <v>10560.949049999999</v>
      </c>
      <c r="G11" s="45">
        <f t="shared" si="1"/>
        <v>13215.097379999999</v>
      </c>
      <c r="H11" s="23"/>
    </row>
    <row r="12" spans="1:8" x14ac:dyDescent="0.3">
      <c r="A12" s="46" t="s">
        <v>120</v>
      </c>
      <c r="B12" s="47">
        <f t="shared" ref="B12:G12" si="2">IF(B5=0,0,B11/B5)</f>
        <v>0.76</v>
      </c>
      <c r="C12" s="47">
        <f t="shared" si="2"/>
        <v>0.78500000000000003</v>
      </c>
      <c r="D12" s="47">
        <f t="shared" si="2"/>
        <v>0.79999999999999993</v>
      </c>
      <c r="E12" s="47">
        <f t="shared" si="2"/>
        <v>0.81500000000000006</v>
      </c>
      <c r="F12" s="47">
        <f t="shared" si="2"/>
        <v>0.83</v>
      </c>
      <c r="G12" s="47">
        <f t="shared" si="2"/>
        <v>0.84199999999999997</v>
      </c>
      <c r="H12" s="23" t="s">
        <v>121</v>
      </c>
    </row>
    <row r="13" spans="1:8" x14ac:dyDescent="0.3">
      <c r="A13" s="3" t="s">
        <v>60</v>
      </c>
      <c r="B13" s="3"/>
      <c r="C13" s="3"/>
      <c r="D13" s="3"/>
      <c r="E13" s="3"/>
      <c r="F13" s="3"/>
      <c r="G13" s="3"/>
      <c r="H13" s="3"/>
    </row>
    <row r="14" spans="1:8" x14ac:dyDescent="0.3">
      <c r="A14" s="31" t="s">
        <v>122</v>
      </c>
      <c r="B14" s="41">
        <f>-B5*0.32</f>
        <v>-921.6</v>
      </c>
      <c r="C14" s="41">
        <f>-C5*0.28</f>
        <v>-1256.6400000000001</v>
      </c>
      <c r="D14" s="41">
        <f>-D5*0.25</f>
        <v>-1713.6</v>
      </c>
      <c r="E14" s="41">
        <f>-E5*0.22</f>
        <v>-2130.5592000000001</v>
      </c>
      <c r="F14" s="41">
        <f>-F5*0.2</f>
        <v>-2544.8070000000002</v>
      </c>
      <c r="G14" s="41">
        <f>-G5*0.18</f>
        <v>-2825.0801999999999</v>
      </c>
      <c r="H14" s="23" t="s">
        <v>123</v>
      </c>
    </row>
    <row r="15" spans="1:8" x14ac:dyDescent="0.3">
      <c r="A15" s="31" t="s">
        <v>124</v>
      </c>
      <c r="B15" s="41">
        <f>-B5*0.38</f>
        <v>-1094.4000000000001</v>
      </c>
      <c r="C15" s="41">
        <f>-C5*0.34</f>
        <v>-1525.92</v>
      </c>
      <c r="D15" s="41">
        <f>-D5*0.3</f>
        <v>-2056.3199999999997</v>
      </c>
      <c r="E15" s="41">
        <f>-E5*0.27</f>
        <v>-2614.7772000000004</v>
      </c>
      <c r="F15" s="41">
        <f>-F5*0.25</f>
        <v>-3181.00875</v>
      </c>
      <c r="G15" s="41">
        <f>-G5*0.23</f>
        <v>-3609.8247000000001</v>
      </c>
      <c r="H15" s="23"/>
    </row>
    <row r="16" spans="1:8" x14ac:dyDescent="0.3">
      <c r="A16" s="31" t="s">
        <v>125</v>
      </c>
      <c r="B16" s="41">
        <f>-B5*0.14</f>
        <v>-403.20000000000005</v>
      </c>
      <c r="C16" s="41">
        <f>-C5*0.12</f>
        <v>-538.55999999999995</v>
      </c>
      <c r="D16" s="41">
        <f>-D5*0.1</f>
        <v>-685.44</v>
      </c>
      <c r="E16" s="41">
        <f>-E5*0.09</f>
        <v>-871.5924</v>
      </c>
      <c r="F16" s="41">
        <f>-F5*0.08</f>
        <v>-1017.9228000000001</v>
      </c>
      <c r="G16" s="41">
        <f>-G5*0.075</f>
        <v>-1177.1167499999999</v>
      </c>
      <c r="H16" s="23"/>
    </row>
    <row r="17" spans="1:8" x14ac:dyDescent="0.3">
      <c r="A17" s="42" t="s">
        <v>126</v>
      </c>
      <c r="B17" s="43">
        <f t="shared" ref="B17:G17" si="3">B14+B15+B16</f>
        <v>-2419.1999999999998</v>
      </c>
      <c r="C17" s="43">
        <f t="shared" si="3"/>
        <v>-3321.1200000000003</v>
      </c>
      <c r="D17" s="43">
        <f t="shared" si="3"/>
        <v>-4455.3599999999997</v>
      </c>
      <c r="E17" s="43">
        <f t="shared" si="3"/>
        <v>-5616.9287999999997</v>
      </c>
      <c r="F17" s="43">
        <f t="shared" si="3"/>
        <v>-6743.73855</v>
      </c>
      <c r="G17" s="43">
        <f t="shared" si="3"/>
        <v>-7612.0216499999997</v>
      </c>
      <c r="H17" s="23"/>
    </row>
    <row r="18" spans="1:8" x14ac:dyDescent="0.3">
      <c r="A18" s="39" t="s">
        <v>127</v>
      </c>
      <c r="B18" s="48">
        <f t="shared" ref="B18:G18" si="4">B11+B17</f>
        <v>-230.39999999999964</v>
      </c>
      <c r="C18" s="48">
        <f t="shared" si="4"/>
        <v>201.95999999999958</v>
      </c>
      <c r="D18" s="48">
        <f t="shared" si="4"/>
        <v>1028.1599999999999</v>
      </c>
      <c r="E18" s="48">
        <f t="shared" si="4"/>
        <v>2275.8246000000008</v>
      </c>
      <c r="F18" s="48">
        <f t="shared" si="4"/>
        <v>3817.2104999999992</v>
      </c>
      <c r="G18" s="48">
        <f t="shared" si="4"/>
        <v>5603.0757299999996</v>
      </c>
      <c r="H18" s="23" t="s">
        <v>128</v>
      </c>
    </row>
    <row r="19" spans="1:8" x14ac:dyDescent="0.3">
      <c r="A19" s="49" t="s">
        <v>129</v>
      </c>
      <c r="B19" s="50">
        <f t="shared" ref="B19:G19" si="5">IF(B5=0,0,B18/B5)</f>
        <v>-7.9999999999999877E-2</v>
      </c>
      <c r="C19" s="50">
        <f t="shared" si="5"/>
        <v>4.4999999999999908E-2</v>
      </c>
      <c r="D19" s="50">
        <f t="shared" si="5"/>
        <v>0.15</v>
      </c>
      <c r="E19" s="50">
        <f t="shared" si="5"/>
        <v>0.23500000000000007</v>
      </c>
      <c r="F19" s="50">
        <f t="shared" si="5"/>
        <v>0.29999999999999993</v>
      </c>
      <c r="G19" s="50">
        <f t="shared" si="5"/>
        <v>0.35699999999999998</v>
      </c>
      <c r="H19" s="23"/>
    </row>
    <row r="20" spans="1:8" x14ac:dyDescent="0.3">
      <c r="A20" s="31" t="s">
        <v>130</v>
      </c>
      <c r="B20" s="41">
        <f>-B5*0.02</f>
        <v>-57.6</v>
      </c>
      <c r="C20" s="41">
        <f>-C5*0.02</f>
        <v>-89.76</v>
      </c>
      <c r="D20" s="41">
        <f>-D5*0.018</f>
        <v>-123.37919999999998</v>
      </c>
      <c r="E20" s="41">
        <f>-E5*0.016</f>
        <v>-154.94976000000003</v>
      </c>
      <c r="F20" s="41">
        <f>-F5*0.015</f>
        <v>-190.860525</v>
      </c>
      <c r="G20" s="41">
        <f>-G5*0.015</f>
        <v>-235.42334999999997</v>
      </c>
      <c r="H20" s="23" t="s">
        <v>131</v>
      </c>
    </row>
    <row r="21" spans="1:8" x14ac:dyDescent="0.3">
      <c r="A21" s="42" t="s">
        <v>132</v>
      </c>
      <c r="B21" s="43">
        <f t="shared" ref="B21:G21" si="6">B18+B20</f>
        <v>-287.99999999999966</v>
      </c>
      <c r="C21" s="43">
        <f t="shared" si="6"/>
        <v>112.19999999999958</v>
      </c>
      <c r="D21" s="43">
        <f t="shared" si="6"/>
        <v>904.78079999999989</v>
      </c>
      <c r="E21" s="43">
        <f t="shared" si="6"/>
        <v>2120.8748400000009</v>
      </c>
      <c r="F21" s="43">
        <f t="shared" si="6"/>
        <v>3626.3499749999992</v>
      </c>
      <c r="G21" s="43">
        <f t="shared" si="6"/>
        <v>5367.6523799999995</v>
      </c>
      <c r="H21" s="23"/>
    </row>
    <row r="22" spans="1:8" x14ac:dyDescent="0.3">
      <c r="A22" s="31" t="s">
        <v>133</v>
      </c>
      <c r="B22" s="41">
        <v>50</v>
      </c>
      <c r="C22" s="41">
        <v>80</v>
      </c>
      <c r="D22" s="41">
        <v>100</v>
      </c>
      <c r="E22" s="41">
        <v>120</v>
      </c>
      <c r="F22" s="41">
        <v>150</v>
      </c>
      <c r="G22" s="41">
        <v>200</v>
      </c>
      <c r="H22" s="23" t="s">
        <v>134</v>
      </c>
    </row>
    <row r="23" spans="1:8" x14ac:dyDescent="0.3">
      <c r="A23" s="42" t="s">
        <v>135</v>
      </c>
      <c r="B23" s="43">
        <f t="shared" ref="B23:G23" si="7">B21+B22</f>
        <v>-237.99999999999966</v>
      </c>
      <c r="C23" s="43">
        <f t="shared" si="7"/>
        <v>192.19999999999959</v>
      </c>
      <c r="D23" s="43">
        <f t="shared" si="7"/>
        <v>1004.7807999999999</v>
      </c>
      <c r="E23" s="43">
        <f t="shared" si="7"/>
        <v>2240.8748400000009</v>
      </c>
      <c r="F23" s="43">
        <f t="shared" si="7"/>
        <v>3776.3499749999992</v>
      </c>
      <c r="G23" s="43">
        <f t="shared" si="7"/>
        <v>5567.6523799999995</v>
      </c>
      <c r="H23" s="23"/>
    </row>
    <row r="24" spans="1:8" x14ac:dyDescent="0.3">
      <c r="A24" s="31" t="s">
        <v>136</v>
      </c>
      <c r="B24" s="41">
        <f>IF(B23&gt;0,-B23*0,0)</f>
        <v>0</v>
      </c>
      <c r="C24" s="41">
        <f>IF(C23&gt;0,-C23*0,0)</f>
        <v>0</v>
      </c>
      <c r="D24" s="41">
        <f>IF(D23&gt;0,-D23*0,0)</f>
        <v>0</v>
      </c>
      <c r="E24" s="41">
        <f>IF(E23&gt;0,-E23*0.21,0)</f>
        <v>-470.58371640000018</v>
      </c>
      <c r="F24" s="41">
        <f>IF(F23&gt;0,-F23*0.21,0)</f>
        <v>-793.03349474999982</v>
      </c>
      <c r="G24" s="41">
        <f>IF(G23&gt;0,-G23*0.21,0)</f>
        <v>-1169.2069997999999</v>
      </c>
      <c r="H24" s="23" t="s">
        <v>137</v>
      </c>
    </row>
    <row r="25" spans="1:8" x14ac:dyDescent="0.3">
      <c r="A25" s="44" t="s">
        <v>138</v>
      </c>
      <c r="B25" s="51">
        <f t="shared" ref="B25:G25" si="8">B23+B24</f>
        <v>-237.99999999999966</v>
      </c>
      <c r="C25" s="51">
        <f t="shared" si="8"/>
        <v>192.19999999999959</v>
      </c>
      <c r="D25" s="51">
        <f t="shared" si="8"/>
        <v>1004.7807999999999</v>
      </c>
      <c r="E25" s="51">
        <f t="shared" si="8"/>
        <v>1770.2911236000007</v>
      </c>
      <c r="F25" s="51">
        <f t="shared" si="8"/>
        <v>2983.3164802499996</v>
      </c>
      <c r="G25" s="51">
        <f t="shared" si="8"/>
        <v>4398.4453801999998</v>
      </c>
      <c r="H25" s="23"/>
    </row>
    <row r="26" spans="1:8" x14ac:dyDescent="0.3">
      <c r="A26" s="46" t="s">
        <v>139</v>
      </c>
      <c r="B26" s="47">
        <f t="shared" ref="B26:G26" si="9">IF(B5=0,0,B25/B5)</f>
        <v>-8.2638888888888776E-2</v>
      </c>
      <c r="C26" s="47">
        <f t="shared" si="9"/>
        <v>4.282531194295891E-2</v>
      </c>
      <c r="D26" s="47">
        <f t="shared" si="9"/>
        <v>0.14658916900093369</v>
      </c>
      <c r="E26" s="47">
        <f t="shared" si="9"/>
        <v>0.18279897934401454</v>
      </c>
      <c r="F26" s="47">
        <f t="shared" si="9"/>
        <v>0.2344630834676264</v>
      </c>
      <c r="G26" s="47">
        <f t="shared" si="9"/>
        <v>0.28024697084210209</v>
      </c>
      <c r="H26" s="23"/>
    </row>
  </sheetData>
  <mergeCells count="4">
    <mergeCell ref="A1:H1"/>
    <mergeCell ref="A2:H2"/>
    <mergeCell ref="A6:H6"/>
    <mergeCell ref="A13:H1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7"/>
  <sheetViews>
    <sheetView showGridLines="0" topLeftCell="A2" zoomScaleNormal="100" workbookViewId="0">
      <selection activeCell="D24" sqref="D24"/>
    </sheetView>
  </sheetViews>
  <sheetFormatPr defaultColWidth="8.6640625" defaultRowHeight="14.4" x14ac:dyDescent="0.3"/>
  <cols>
    <col min="1" max="1" width="34" customWidth="1"/>
    <col min="2" max="7" width="15" customWidth="1"/>
    <col min="8" max="8" width="28" customWidth="1"/>
  </cols>
  <sheetData>
    <row r="1" spans="1:8" ht="27.75" customHeight="1" x14ac:dyDescent="0.3">
      <c r="A1" s="5" t="s">
        <v>140</v>
      </c>
      <c r="B1" s="5"/>
      <c r="C1" s="5"/>
      <c r="D1" s="5"/>
      <c r="E1" s="5"/>
      <c r="F1" s="5"/>
      <c r="G1" s="5"/>
      <c r="H1" s="5"/>
    </row>
    <row r="3" spans="1:8" x14ac:dyDescent="0.3">
      <c r="A3" s="19" t="s">
        <v>82</v>
      </c>
      <c r="B3" s="20" t="s">
        <v>27</v>
      </c>
      <c r="C3" s="20" t="s">
        <v>28</v>
      </c>
      <c r="D3" s="20" t="s">
        <v>29</v>
      </c>
      <c r="E3" s="20" t="s">
        <v>30</v>
      </c>
      <c r="F3" s="20" t="s">
        <v>31</v>
      </c>
      <c r="G3" s="20" t="s">
        <v>32</v>
      </c>
      <c r="H3" s="19" t="s">
        <v>141</v>
      </c>
    </row>
    <row r="4" spans="1:8" x14ac:dyDescent="0.3">
      <c r="A4" s="3" t="s">
        <v>142</v>
      </c>
      <c r="B4" s="3"/>
      <c r="C4" s="3"/>
      <c r="D4" s="3"/>
      <c r="E4" s="3"/>
      <c r="F4" s="3"/>
      <c r="G4" s="3"/>
      <c r="H4" s="3"/>
    </row>
    <row r="5" spans="1:8" x14ac:dyDescent="0.3">
      <c r="A5" s="31" t="s">
        <v>68</v>
      </c>
      <c r="B5" s="33">
        <v>4200</v>
      </c>
      <c r="C5" s="33">
        <v>3900</v>
      </c>
      <c r="D5" s="33">
        <v>3600</v>
      </c>
      <c r="E5" s="33">
        <v>3300</v>
      </c>
      <c r="F5" s="33">
        <v>3100</v>
      </c>
      <c r="G5" s="33">
        <v>2900</v>
      </c>
      <c r="H5" s="23" t="s">
        <v>143</v>
      </c>
    </row>
    <row r="6" spans="1:8" x14ac:dyDescent="0.3">
      <c r="A6" s="31" t="s">
        <v>144</v>
      </c>
      <c r="B6" s="52">
        <f>'Revenue Model'!B18</f>
        <v>458</v>
      </c>
      <c r="C6" s="52">
        <f>'Revenue Model'!C18-'Revenue Model'!B18</f>
        <v>242</v>
      </c>
      <c r="D6" s="52">
        <f>'Revenue Model'!D18-'Revenue Model'!C18</f>
        <v>303</v>
      </c>
      <c r="E6" s="52">
        <f>'Revenue Model'!E18-'Revenue Model'!D18</f>
        <v>332</v>
      </c>
      <c r="F6" s="52">
        <f>'Revenue Model'!F18-'Revenue Model'!E18</f>
        <v>310</v>
      </c>
      <c r="G6" s="52">
        <f>'Revenue Model'!G18-'Revenue Model'!F18</f>
        <v>275</v>
      </c>
      <c r="H6" s="23" t="s">
        <v>145</v>
      </c>
    </row>
    <row r="7" spans="1:8" x14ac:dyDescent="0.3">
      <c r="A7" s="31" t="s">
        <v>146</v>
      </c>
      <c r="B7" s="52">
        <f t="shared" ref="B7:G7" si="0">B5*B6/1000</f>
        <v>1923.6</v>
      </c>
      <c r="C7" s="52">
        <f t="shared" si="0"/>
        <v>943.8</v>
      </c>
      <c r="D7" s="52">
        <f t="shared" si="0"/>
        <v>1090.8</v>
      </c>
      <c r="E7" s="52">
        <f t="shared" si="0"/>
        <v>1095.5999999999999</v>
      </c>
      <c r="F7" s="52">
        <f t="shared" si="0"/>
        <v>961</v>
      </c>
      <c r="G7" s="52">
        <f t="shared" si="0"/>
        <v>797.5</v>
      </c>
      <c r="H7" s="23" t="s">
        <v>147</v>
      </c>
    </row>
    <row r="8" spans="1:8" x14ac:dyDescent="0.3">
      <c r="A8" s="3" t="s">
        <v>148</v>
      </c>
      <c r="B8" s="3"/>
      <c r="C8" s="3"/>
      <c r="D8" s="3"/>
      <c r="E8" s="3"/>
      <c r="F8" s="3"/>
      <c r="G8" s="3"/>
      <c r="H8" s="3"/>
    </row>
    <row r="9" spans="1:8" x14ac:dyDescent="0.3">
      <c r="A9" s="31" t="s">
        <v>149</v>
      </c>
      <c r="B9" s="52">
        <f>IF('Revenue Model'!B18=0,0,'Revenue Model'!B17*1000/'Revenue Model'!B18)</f>
        <v>6288.2096069868994</v>
      </c>
      <c r="C9" s="52">
        <f>IF('Revenue Model'!C18=0,0,'Revenue Model'!C17*1000/'Revenue Model'!C18)</f>
        <v>6411.4285714285716</v>
      </c>
      <c r="D9" s="52">
        <f>IF('Revenue Model'!D18=0,0,'Revenue Model'!D17*1000/'Revenue Model'!D18)</f>
        <v>6833.8983050847455</v>
      </c>
      <c r="E9" s="52">
        <f>IF('Revenue Model'!E18=0,0,'Revenue Model'!E17*1000/'Revenue Model'!E18)</f>
        <v>7254.2022471910113</v>
      </c>
      <c r="F9" s="52">
        <f>IF('Revenue Model'!F18=0,0,'Revenue Model'!F17*1000/'Revenue Model'!F18)</f>
        <v>7734.9756838905778</v>
      </c>
      <c r="G9" s="52">
        <f>IF('Revenue Model'!G18=0,0,'Revenue Model'!G17*1000/'Revenue Model'!G18)</f>
        <v>8174.421875</v>
      </c>
      <c r="H9" s="23" t="s">
        <v>150</v>
      </c>
    </row>
    <row r="10" spans="1:8" x14ac:dyDescent="0.3">
      <c r="A10" s="31" t="s">
        <v>151</v>
      </c>
      <c r="B10" s="53">
        <f>'P&amp;L'!B12</f>
        <v>0.76</v>
      </c>
      <c r="C10" s="53">
        <f>'P&amp;L'!C12</f>
        <v>0.78500000000000003</v>
      </c>
      <c r="D10" s="53">
        <f>'P&amp;L'!D12</f>
        <v>0.79999999999999993</v>
      </c>
      <c r="E10" s="53">
        <f>'P&amp;L'!E12</f>
        <v>0.81500000000000006</v>
      </c>
      <c r="F10" s="53">
        <f>'P&amp;L'!F12</f>
        <v>0.83</v>
      </c>
      <c r="G10" s="53">
        <f>'P&amp;L'!G12</f>
        <v>0.84199999999999997</v>
      </c>
      <c r="H10" s="23" t="s">
        <v>152</v>
      </c>
    </row>
    <row r="11" spans="1:8" x14ac:dyDescent="0.3">
      <c r="A11" s="31" t="s">
        <v>153</v>
      </c>
      <c r="B11" s="54">
        <v>0.18</v>
      </c>
      <c r="C11" s="54">
        <v>0.16</v>
      </c>
      <c r="D11" s="54">
        <v>0.14000000000000001</v>
      </c>
      <c r="E11" s="54">
        <v>0.12</v>
      </c>
      <c r="F11" s="54">
        <v>0.11</v>
      </c>
      <c r="G11" s="54">
        <v>0.1</v>
      </c>
      <c r="H11" s="23" t="s">
        <v>85</v>
      </c>
    </row>
    <row r="12" spans="1:8" x14ac:dyDescent="0.3">
      <c r="A12" s="31" t="s">
        <v>154</v>
      </c>
      <c r="B12" s="55">
        <f t="shared" ref="B12:G12" si="1">IF(B11=0,0,1/B11)</f>
        <v>5.5555555555555554</v>
      </c>
      <c r="C12" s="55">
        <f t="shared" si="1"/>
        <v>6.25</v>
      </c>
      <c r="D12" s="55">
        <f t="shared" si="1"/>
        <v>7.1428571428571423</v>
      </c>
      <c r="E12" s="55">
        <f t="shared" si="1"/>
        <v>8.3333333333333339</v>
      </c>
      <c r="F12" s="55">
        <f t="shared" si="1"/>
        <v>9.0909090909090917</v>
      </c>
      <c r="G12" s="55">
        <f t="shared" si="1"/>
        <v>10</v>
      </c>
      <c r="H12" s="23" t="s">
        <v>155</v>
      </c>
    </row>
    <row r="13" spans="1:8" x14ac:dyDescent="0.3">
      <c r="A13" s="56" t="s">
        <v>156</v>
      </c>
      <c r="B13" s="57">
        <f t="shared" ref="B13:G13" si="2">B9*B10*B12</f>
        <v>26550.218340611355</v>
      </c>
      <c r="C13" s="57">
        <f t="shared" si="2"/>
        <v>31456.071428571431</v>
      </c>
      <c r="D13" s="57">
        <f t="shared" si="2"/>
        <v>39050.847457627111</v>
      </c>
      <c r="E13" s="57">
        <f t="shared" si="2"/>
        <v>49268.123595505625</v>
      </c>
      <c r="F13" s="57">
        <f t="shared" si="2"/>
        <v>58363.907432992542</v>
      </c>
      <c r="G13" s="57">
        <f t="shared" si="2"/>
        <v>68828.632187499999</v>
      </c>
      <c r="H13" s="23" t="s">
        <v>157</v>
      </c>
    </row>
    <row r="14" spans="1:8" x14ac:dyDescent="0.3">
      <c r="A14" s="3" t="s">
        <v>158</v>
      </c>
      <c r="B14" s="3"/>
      <c r="C14" s="3"/>
      <c r="D14" s="3"/>
      <c r="E14" s="3"/>
      <c r="F14" s="3"/>
      <c r="G14" s="3"/>
      <c r="H14" s="3"/>
    </row>
    <row r="15" spans="1:8" x14ac:dyDescent="0.3">
      <c r="A15" s="35" t="s">
        <v>159</v>
      </c>
      <c r="B15" s="58">
        <f t="shared" ref="B15:G15" si="3">IF(B5=0,0,B13/B5)</f>
        <v>6.3214805572884174</v>
      </c>
      <c r="C15" s="58">
        <f t="shared" si="3"/>
        <v>8.0656593406593409</v>
      </c>
      <c r="D15" s="58">
        <f t="shared" si="3"/>
        <v>10.847457627118642</v>
      </c>
      <c r="E15" s="58">
        <f t="shared" si="3"/>
        <v>14.929734422880493</v>
      </c>
      <c r="F15" s="58">
        <f t="shared" si="3"/>
        <v>18.827066913868563</v>
      </c>
      <c r="G15" s="58">
        <f t="shared" si="3"/>
        <v>23.734011099137931</v>
      </c>
      <c r="H15" s="23" t="s">
        <v>160</v>
      </c>
    </row>
    <row r="16" spans="1:8" x14ac:dyDescent="0.3">
      <c r="A16" s="31" t="s">
        <v>161</v>
      </c>
      <c r="B16" s="59">
        <f t="shared" ref="B16:G16" si="4">IF(B9*B10=0,0,B5/(B9*B10)*12)</f>
        <v>10.546052631578947</v>
      </c>
      <c r="C16" s="59">
        <f t="shared" si="4"/>
        <v>9.2986818352123706</v>
      </c>
      <c r="D16" s="59">
        <f t="shared" si="4"/>
        <v>7.9017857142857162</v>
      </c>
      <c r="E16" s="59">
        <f t="shared" si="4"/>
        <v>6.698042789478257</v>
      </c>
      <c r="F16" s="59">
        <f t="shared" si="4"/>
        <v>5.7943656114882973</v>
      </c>
      <c r="G16" s="59">
        <f t="shared" si="4"/>
        <v>5.0560353873079062</v>
      </c>
      <c r="H16" s="23" t="s">
        <v>162</v>
      </c>
    </row>
    <row r="17" spans="1:8" x14ac:dyDescent="0.3">
      <c r="A17" s="31" t="s">
        <v>163</v>
      </c>
      <c r="B17" s="55">
        <f>IF(B7=0,0,(C5-B5)*B10/B7)</f>
        <v>-0.11852776044915783</v>
      </c>
      <c r="C17" s="55">
        <f>IF(B7=0,0,(C5-B5)*B10/B7)</f>
        <v>-0.11852776044915783</v>
      </c>
      <c r="D17" s="55">
        <f>IF(C7=0,0,(D5-C5)*C10/C7)</f>
        <v>-0.24952320406865863</v>
      </c>
      <c r="E17" s="55">
        <f>IF(D7=0,0,(E5-D5)*D10/D7)</f>
        <v>-0.22002200220022</v>
      </c>
      <c r="F17" s="55">
        <f>IF(E7=0,0,(F5-E5)*E10/E7)</f>
        <v>-0.14877692588535962</v>
      </c>
      <c r="G17" s="55">
        <f>IF(F7=0,0,(G5-F5)*F10/F7)</f>
        <v>-0.17273673257023933</v>
      </c>
      <c r="H17" s="23" t="s">
        <v>164</v>
      </c>
    </row>
  </sheetData>
  <mergeCells count="4">
    <mergeCell ref="A1:H1"/>
    <mergeCell ref="A4:H4"/>
    <mergeCell ref="A8:H8"/>
    <mergeCell ref="A14:H14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3"/>
  <sheetViews>
    <sheetView showGridLines="0" zoomScaleNormal="100" workbookViewId="0">
      <selection sqref="A1:H1"/>
    </sheetView>
  </sheetViews>
  <sheetFormatPr defaultColWidth="8.6640625" defaultRowHeight="14.4" x14ac:dyDescent="0.3"/>
  <cols>
    <col min="1" max="1" width="30" customWidth="1"/>
    <col min="2" max="7" width="14" customWidth="1"/>
    <col min="8" max="8" width="28" customWidth="1"/>
  </cols>
  <sheetData>
    <row r="1" spans="1:8" ht="27.75" customHeight="1" x14ac:dyDescent="0.3">
      <c r="A1" s="5" t="s">
        <v>165</v>
      </c>
      <c r="B1" s="5"/>
      <c r="C1" s="5"/>
      <c r="D1" s="5"/>
      <c r="E1" s="5"/>
      <c r="F1" s="5"/>
      <c r="G1" s="5"/>
      <c r="H1" s="5"/>
    </row>
    <row r="3" spans="1:8" x14ac:dyDescent="0.3">
      <c r="A3" s="19" t="s">
        <v>166</v>
      </c>
      <c r="B3" s="20" t="s">
        <v>27</v>
      </c>
      <c r="C3" s="20" t="s">
        <v>28</v>
      </c>
      <c r="D3" s="20" t="s">
        <v>29</v>
      </c>
      <c r="E3" s="20" t="s">
        <v>30</v>
      </c>
      <c r="F3" s="20" t="s">
        <v>31</v>
      </c>
      <c r="G3" s="20" t="s">
        <v>32</v>
      </c>
      <c r="H3" s="19" t="s">
        <v>33</v>
      </c>
    </row>
    <row r="4" spans="1:8" x14ac:dyDescent="0.3">
      <c r="A4" s="3" t="s">
        <v>167</v>
      </c>
      <c r="B4" s="3"/>
      <c r="C4" s="3"/>
      <c r="D4" s="3"/>
      <c r="E4" s="3"/>
      <c r="F4" s="3"/>
      <c r="G4" s="3"/>
      <c r="H4" s="3"/>
    </row>
    <row r="5" spans="1:8" x14ac:dyDescent="0.3">
      <c r="A5" s="60" t="s">
        <v>168</v>
      </c>
      <c r="B5" s="26">
        <v>8</v>
      </c>
      <c r="C5" s="26">
        <v>12</v>
      </c>
      <c r="D5" s="26">
        <v>18</v>
      </c>
      <c r="E5" s="26">
        <v>24</v>
      </c>
      <c r="F5" s="26">
        <v>30</v>
      </c>
      <c r="G5" s="26">
        <v>35</v>
      </c>
    </row>
    <row r="6" spans="1:8" x14ac:dyDescent="0.3">
      <c r="A6" s="60" t="s">
        <v>169</v>
      </c>
      <c r="B6" s="26">
        <v>3</v>
      </c>
      <c r="C6" s="26">
        <v>4</v>
      </c>
      <c r="D6" s="26">
        <v>6</v>
      </c>
      <c r="E6" s="26">
        <v>8</v>
      </c>
      <c r="F6" s="26">
        <v>10</v>
      </c>
      <c r="G6" s="26">
        <v>12</v>
      </c>
    </row>
    <row r="7" spans="1:8" x14ac:dyDescent="0.3">
      <c r="A7" s="60" t="s">
        <v>170</v>
      </c>
      <c r="B7" s="26">
        <v>2</v>
      </c>
      <c r="C7" s="26">
        <v>3</v>
      </c>
      <c r="D7" s="26">
        <v>4</v>
      </c>
      <c r="E7" s="26">
        <v>5</v>
      </c>
      <c r="F7" s="26">
        <v>6</v>
      </c>
      <c r="G7" s="26">
        <v>7</v>
      </c>
    </row>
    <row r="8" spans="1:8" x14ac:dyDescent="0.3">
      <c r="A8" s="42" t="s">
        <v>171</v>
      </c>
      <c r="B8" s="61">
        <f t="shared" ref="B8:G8" si="0">SUM(B5:B7)</f>
        <v>13</v>
      </c>
      <c r="C8" s="61">
        <f t="shared" si="0"/>
        <v>19</v>
      </c>
      <c r="D8" s="61">
        <f t="shared" si="0"/>
        <v>28</v>
      </c>
      <c r="E8" s="61">
        <f t="shared" si="0"/>
        <v>37</v>
      </c>
      <c r="F8" s="61">
        <f t="shared" si="0"/>
        <v>46</v>
      </c>
      <c r="G8" s="61">
        <f t="shared" si="0"/>
        <v>54</v>
      </c>
    </row>
    <row r="9" spans="1:8" x14ac:dyDescent="0.3">
      <c r="A9" s="3" t="s">
        <v>172</v>
      </c>
      <c r="B9" s="3"/>
      <c r="C9" s="3"/>
      <c r="D9" s="3"/>
      <c r="E9" s="3"/>
      <c r="F9" s="3"/>
      <c r="G9" s="3"/>
      <c r="H9" s="3"/>
    </row>
    <row r="10" spans="1:8" x14ac:dyDescent="0.3">
      <c r="A10" s="60" t="s">
        <v>173</v>
      </c>
      <c r="B10" s="26">
        <v>6</v>
      </c>
      <c r="C10" s="26">
        <v>10</v>
      </c>
      <c r="D10" s="26">
        <v>15</v>
      </c>
      <c r="E10" s="26">
        <v>20</v>
      </c>
      <c r="F10" s="26">
        <v>26</v>
      </c>
      <c r="G10" s="26">
        <v>30</v>
      </c>
    </row>
    <row r="11" spans="1:8" x14ac:dyDescent="0.3">
      <c r="A11" s="60" t="s">
        <v>174</v>
      </c>
      <c r="B11" s="26">
        <v>3</v>
      </c>
      <c r="C11" s="26">
        <v>5</v>
      </c>
      <c r="D11" s="26">
        <v>7</v>
      </c>
      <c r="E11" s="26">
        <v>9</v>
      </c>
      <c r="F11" s="26">
        <v>11</v>
      </c>
      <c r="G11" s="26">
        <v>13</v>
      </c>
    </row>
    <row r="12" spans="1:8" x14ac:dyDescent="0.3">
      <c r="A12" s="60" t="s">
        <v>116</v>
      </c>
      <c r="B12" s="26">
        <v>4</v>
      </c>
      <c r="C12" s="26">
        <v>7</v>
      </c>
      <c r="D12" s="26">
        <v>11</v>
      </c>
      <c r="E12" s="26">
        <v>15</v>
      </c>
      <c r="F12" s="26">
        <v>19</v>
      </c>
      <c r="G12" s="26">
        <v>22</v>
      </c>
    </row>
    <row r="13" spans="1:8" x14ac:dyDescent="0.3">
      <c r="A13" s="42" t="s">
        <v>175</v>
      </c>
      <c r="B13" s="61">
        <f t="shared" ref="B13:G13" si="1">SUM(B10:B12)</f>
        <v>13</v>
      </c>
      <c r="C13" s="61">
        <f t="shared" si="1"/>
        <v>22</v>
      </c>
      <c r="D13" s="61">
        <f t="shared" si="1"/>
        <v>33</v>
      </c>
      <c r="E13" s="61">
        <f t="shared" si="1"/>
        <v>44</v>
      </c>
      <c r="F13" s="61">
        <f t="shared" si="1"/>
        <v>56</v>
      </c>
      <c r="G13" s="61">
        <f t="shared" si="1"/>
        <v>65</v>
      </c>
    </row>
    <row r="14" spans="1:8" x14ac:dyDescent="0.3">
      <c r="A14" s="3" t="s">
        <v>176</v>
      </c>
      <c r="B14" s="3"/>
      <c r="C14" s="3"/>
      <c r="D14" s="3"/>
      <c r="E14" s="3"/>
      <c r="F14" s="3"/>
      <c r="G14" s="3"/>
      <c r="H14" s="3"/>
    </row>
    <row r="15" spans="1:8" x14ac:dyDescent="0.3">
      <c r="A15" s="60" t="s">
        <v>177</v>
      </c>
      <c r="B15" s="26">
        <v>2</v>
      </c>
      <c r="C15" s="26">
        <v>3</v>
      </c>
      <c r="D15" s="26">
        <v>4</v>
      </c>
      <c r="E15" s="26">
        <v>5</v>
      </c>
      <c r="F15" s="26">
        <v>6</v>
      </c>
      <c r="G15" s="26">
        <v>7</v>
      </c>
    </row>
    <row r="16" spans="1:8" x14ac:dyDescent="0.3">
      <c r="A16" s="60" t="s">
        <v>178</v>
      </c>
      <c r="B16" s="26">
        <v>1</v>
      </c>
      <c r="C16" s="26">
        <v>2</v>
      </c>
      <c r="D16" s="26">
        <v>3</v>
      </c>
      <c r="E16" s="26">
        <v>4</v>
      </c>
      <c r="F16" s="26">
        <v>5</v>
      </c>
      <c r="G16" s="26">
        <v>5</v>
      </c>
    </row>
    <row r="17" spans="1:8" x14ac:dyDescent="0.3">
      <c r="A17" s="60" t="s">
        <v>179</v>
      </c>
      <c r="B17" s="26">
        <v>2</v>
      </c>
      <c r="C17" s="26">
        <v>3</v>
      </c>
      <c r="D17" s="26">
        <v>4</v>
      </c>
      <c r="E17" s="26">
        <v>5</v>
      </c>
      <c r="F17" s="26">
        <v>6</v>
      </c>
      <c r="G17" s="26">
        <v>7</v>
      </c>
    </row>
    <row r="18" spans="1:8" x14ac:dyDescent="0.3">
      <c r="A18" s="42" t="s">
        <v>180</v>
      </c>
      <c r="B18" s="61">
        <f t="shared" ref="B18:G18" si="2">SUM(B15:B17)</f>
        <v>5</v>
      </c>
      <c r="C18" s="61">
        <f t="shared" si="2"/>
        <v>8</v>
      </c>
      <c r="D18" s="61">
        <f t="shared" si="2"/>
        <v>11</v>
      </c>
      <c r="E18" s="61">
        <f t="shared" si="2"/>
        <v>14</v>
      </c>
      <c r="F18" s="61">
        <f t="shared" si="2"/>
        <v>17</v>
      </c>
      <c r="G18" s="61">
        <f t="shared" si="2"/>
        <v>19</v>
      </c>
    </row>
    <row r="19" spans="1:8" x14ac:dyDescent="0.3">
      <c r="A19" s="62" t="s">
        <v>181</v>
      </c>
      <c r="B19" s="63">
        <f t="shared" ref="B19:G19" si="3">B8+B13+B18</f>
        <v>31</v>
      </c>
      <c r="C19" s="63">
        <f t="shared" si="3"/>
        <v>49</v>
      </c>
      <c r="D19" s="63">
        <f t="shared" si="3"/>
        <v>72</v>
      </c>
      <c r="E19" s="63">
        <f t="shared" si="3"/>
        <v>95</v>
      </c>
      <c r="F19" s="63">
        <f t="shared" si="3"/>
        <v>119</v>
      </c>
      <c r="G19" s="63">
        <f t="shared" si="3"/>
        <v>138</v>
      </c>
    </row>
    <row r="21" spans="1:8" x14ac:dyDescent="0.3">
      <c r="A21" s="3" t="s">
        <v>182</v>
      </c>
      <c r="B21" s="3"/>
      <c r="C21" s="3"/>
      <c r="D21" s="3"/>
      <c r="E21" s="3"/>
      <c r="F21" s="3"/>
      <c r="G21" s="3"/>
      <c r="H21" s="3"/>
    </row>
    <row r="22" spans="1:8" x14ac:dyDescent="0.3">
      <c r="A22" s="60" t="s">
        <v>183</v>
      </c>
      <c r="B22" s="22">
        <v>85</v>
      </c>
      <c r="C22" s="22">
        <v>88</v>
      </c>
      <c r="D22" s="22">
        <v>92</v>
      </c>
      <c r="E22" s="22">
        <v>96</v>
      </c>
      <c r="F22" s="22">
        <v>100</v>
      </c>
      <c r="G22" s="22">
        <v>104</v>
      </c>
      <c r="H22" s="23" t="s">
        <v>184</v>
      </c>
    </row>
    <row r="23" spans="1:8" x14ac:dyDescent="0.3">
      <c r="A23" s="44" t="s">
        <v>185</v>
      </c>
      <c r="B23" s="57">
        <f t="shared" ref="B23:G23" si="4">B19*B22</f>
        <v>2635</v>
      </c>
      <c r="C23" s="57">
        <f t="shared" si="4"/>
        <v>4312</v>
      </c>
      <c r="D23" s="57">
        <f t="shared" si="4"/>
        <v>6624</v>
      </c>
      <c r="E23" s="57">
        <f t="shared" si="4"/>
        <v>9120</v>
      </c>
      <c r="F23" s="57">
        <f t="shared" si="4"/>
        <v>11900</v>
      </c>
      <c r="G23" s="57">
        <f t="shared" si="4"/>
        <v>14352</v>
      </c>
    </row>
  </sheetData>
  <mergeCells count="5">
    <mergeCell ref="A1:H1"/>
    <mergeCell ref="A4:H4"/>
    <mergeCell ref="A9:H9"/>
    <mergeCell ref="A14:H14"/>
    <mergeCell ref="A21:H2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9"/>
  <sheetViews>
    <sheetView showGridLines="0" tabSelected="1" zoomScaleNormal="100" workbookViewId="0">
      <selection sqref="A1:H1"/>
    </sheetView>
  </sheetViews>
  <sheetFormatPr defaultColWidth="8.6640625" defaultRowHeight="14.4" x14ac:dyDescent="0.3"/>
  <cols>
    <col min="1" max="1" width="34" customWidth="1"/>
    <col min="2" max="7" width="15" customWidth="1"/>
    <col min="8" max="8" width="25" customWidth="1"/>
  </cols>
  <sheetData>
    <row r="1" spans="1:8" ht="27.75" customHeight="1" x14ac:dyDescent="0.3">
      <c r="A1" s="5" t="s">
        <v>186</v>
      </c>
      <c r="B1" s="5"/>
      <c r="C1" s="5"/>
      <c r="D1" s="5"/>
      <c r="E1" s="5"/>
      <c r="F1" s="5"/>
      <c r="G1" s="5"/>
      <c r="H1" s="5"/>
    </row>
    <row r="2" spans="1:8" x14ac:dyDescent="0.3">
      <c r="A2" s="4" t="s">
        <v>187</v>
      </c>
      <c r="B2" s="4"/>
      <c r="C2" s="4"/>
      <c r="D2" s="4"/>
      <c r="E2" s="4"/>
      <c r="F2" s="4"/>
      <c r="G2" s="4"/>
      <c r="H2" s="4"/>
    </row>
    <row r="4" spans="1:8" x14ac:dyDescent="0.3">
      <c r="A4" s="19" t="s">
        <v>110</v>
      </c>
      <c r="B4" s="20" t="s">
        <v>27</v>
      </c>
      <c r="C4" s="20" t="s">
        <v>28</v>
      </c>
      <c r="D4" s="20" t="s">
        <v>29</v>
      </c>
      <c r="E4" s="20" t="s">
        <v>30</v>
      </c>
      <c r="F4" s="20" t="s">
        <v>31</v>
      </c>
      <c r="G4" s="20" t="s">
        <v>32</v>
      </c>
      <c r="H4" s="6"/>
    </row>
    <row r="5" spans="1:8" x14ac:dyDescent="0.3">
      <c r="A5" s="3" t="s">
        <v>188</v>
      </c>
      <c r="B5" s="3"/>
      <c r="C5" s="3"/>
      <c r="D5" s="3"/>
      <c r="E5" s="3"/>
      <c r="F5" s="3"/>
      <c r="G5" s="3"/>
      <c r="H5" s="3"/>
    </row>
    <row r="6" spans="1:8" x14ac:dyDescent="0.3">
      <c r="A6" s="31" t="s">
        <v>189</v>
      </c>
      <c r="B6" s="41">
        <f>'P&amp;L'!B25</f>
        <v>-237.99999999999966</v>
      </c>
      <c r="C6" s="41">
        <f>'P&amp;L'!C25</f>
        <v>192.19999999999959</v>
      </c>
      <c r="D6" s="41">
        <f>'P&amp;L'!D25</f>
        <v>1004.7807999999999</v>
      </c>
      <c r="E6" s="41">
        <f>'P&amp;L'!E25</f>
        <v>1770.2911236000007</v>
      </c>
      <c r="F6" s="41">
        <f>'P&amp;L'!F25</f>
        <v>2983.3164802499996</v>
      </c>
      <c r="G6" s="41">
        <f>'P&amp;L'!G25</f>
        <v>4398.4453801999998</v>
      </c>
      <c r="H6" s="23" t="s">
        <v>190</v>
      </c>
    </row>
    <row r="7" spans="1:8" x14ac:dyDescent="0.3">
      <c r="A7" s="31" t="s">
        <v>191</v>
      </c>
      <c r="B7" s="41">
        <f>-'P&amp;L'!B20</f>
        <v>57.6</v>
      </c>
      <c r="C7" s="41">
        <f>-'P&amp;L'!C20</f>
        <v>89.76</v>
      </c>
      <c r="D7" s="41">
        <f>-'P&amp;L'!D20</f>
        <v>123.37919999999998</v>
      </c>
      <c r="E7" s="41">
        <f>-'P&amp;L'!E20</f>
        <v>154.94976000000003</v>
      </c>
      <c r="F7" s="41">
        <f>-'P&amp;L'!F20</f>
        <v>190.860525</v>
      </c>
      <c r="G7" s="41">
        <f>-'P&amp;L'!G20</f>
        <v>235.42334999999997</v>
      </c>
      <c r="H7" s="23" t="s">
        <v>192</v>
      </c>
    </row>
    <row r="8" spans="1:8" x14ac:dyDescent="0.3">
      <c r="A8" s="31" t="s">
        <v>193</v>
      </c>
      <c r="B8" s="41">
        <f>-'P&amp;L'!B5*0.035/12</f>
        <v>-8.4</v>
      </c>
      <c r="C8" s="41">
        <f>-('P&amp;L'!C5-'P&amp;L'!B5)*0.032/12</f>
        <v>-4.2880000000000003</v>
      </c>
      <c r="D8" s="41">
        <f>-('P&amp;L'!D5-'P&amp;L'!C5)*0.03/12</f>
        <v>-5.9159999999999995</v>
      </c>
      <c r="E8" s="41">
        <f>-('P&amp;L'!E5-'P&amp;L'!D5)*0.028/12</f>
        <v>-6.6032400000000022</v>
      </c>
      <c r="F8" s="41">
        <f>-('P&amp;L'!F5-'P&amp;L'!E5)*0.028/12</f>
        <v>-7.0925749999999992</v>
      </c>
      <c r="G8" s="41">
        <f>-('P&amp;L'!G5-'P&amp;L'!F5)*0.028/12</f>
        <v>-6.9319949999999997</v>
      </c>
      <c r="H8" s="23" t="s">
        <v>194</v>
      </c>
    </row>
    <row r="9" spans="1:8" x14ac:dyDescent="0.3">
      <c r="A9" s="35" t="s">
        <v>195</v>
      </c>
      <c r="B9" s="48">
        <f t="shared" ref="B9:G9" si="0">B6+B7+B8</f>
        <v>-188.79999999999967</v>
      </c>
      <c r="C9" s="48">
        <f t="shared" si="0"/>
        <v>277.67199999999957</v>
      </c>
      <c r="D9" s="48">
        <f t="shared" si="0"/>
        <v>1122.2439999999999</v>
      </c>
      <c r="E9" s="48">
        <f t="shared" si="0"/>
        <v>1918.6376436000007</v>
      </c>
      <c r="F9" s="48">
        <f t="shared" si="0"/>
        <v>3167.0844302499995</v>
      </c>
      <c r="G9" s="48">
        <f t="shared" si="0"/>
        <v>4626.9367351999999</v>
      </c>
      <c r="H9" s="23"/>
    </row>
    <row r="10" spans="1:8" x14ac:dyDescent="0.3">
      <c r="A10" s="3" t="s">
        <v>196</v>
      </c>
      <c r="B10" s="3"/>
      <c r="C10" s="3"/>
      <c r="D10" s="3"/>
      <c r="E10" s="3"/>
      <c r="F10" s="3"/>
      <c r="G10" s="3"/>
      <c r="H10" s="3"/>
    </row>
    <row r="11" spans="1:8" x14ac:dyDescent="0.3">
      <c r="A11" s="31" t="s">
        <v>197</v>
      </c>
      <c r="B11" s="41">
        <f>-'P&amp;L'!B5*0.03</f>
        <v>-86.399999999999991</v>
      </c>
      <c r="C11" s="41">
        <f>-'P&amp;L'!C5*0.025</f>
        <v>-112.2</v>
      </c>
      <c r="D11" s="41">
        <f>-'P&amp;L'!D5*0.02</f>
        <v>-137.08799999999999</v>
      </c>
      <c r="E11" s="41">
        <f>-'P&amp;L'!E5*0.02</f>
        <v>-193.68720000000002</v>
      </c>
      <c r="F11" s="41">
        <f>-'P&amp;L'!F5*0.018</f>
        <v>-229.03262999999998</v>
      </c>
      <c r="G11" s="41">
        <f>-'P&amp;L'!G5*0.015</f>
        <v>-235.42334999999997</v>
      </c>
      <c r="H11" s="23" t="s">
        <v>115</v>
      </c>
    </row>
    <row r="12" spans="1:8" x14ac:dyDescent="0.3">
      <c r="A12" s="35" t="s">
        <v>198</v>
      </c>
      <c r="B12" s="48">
        <f t="shared" ref="B12:G12" si="1">B11</f>
        <v>-86.399999999999991</v>
      </c>
      <c r="C12" s="48">
        <f t="shared" si="1"/>
        <v>-112.2</v>
      </c>
      <c r="D12" s="48">
        <f t="shared" si="1"/>
        <v>-137.08799999999999</v>
      </c>
      <c r="E12" s="48">
        <f t="shared" si="1"/>
        <v>-193.68720000000002</v>
      </c>
      <c r="F12" s="48">
        <f t="shared" si="1"/>
        <v>-229.03262999999998</v>
      </c>
      <c r="G12" s="48">
        <f t="shared" si="1"/>
        <v>-235.42334999999997</v>
      </c>
      <c r="H12" s="23"/>
    </row>
    <row r="13" spans="1:8" x14ac:dyDescent="0.3">
      <c r="A13" s="3" t="s">
        <v>199</v>
      </c>
      <c r="B13" s="3"/>
      <c r="C13" s="3"/>
      <c r="D13" s="3"/>
      <c r="E13" s="3"/>
      <c r="F13" s="3"/>
      <c r="G13" s="3"/>
      <c r="H13" s="3"/>
    </row>
    <row r="14" spans="1:8" x14ac:dyDescent="0.3">
      <c r="A14" s="31" t="s">
        <v>200</v>
      </c>
      <c r="B14" s="41">
        <v>5000</v>
      </c>
      <c r="C14" s="41">
        <v>8000</v>
      </c>
      <c r="D14" s="41">
        <v>0</v>
      </c>
      <c r="E14" s="41">
        <v>0</v>
      </c>
      <c r="F14" s="41">
        <v>0</v>
      </c>
      <c r="G14" s="41">
        <v>0</v>
      </c>
      <c r="H14" s="23" t="s">
        <v>201</v>
      </c>
    </row>
    <row r="15" spans="1:8" x14ac:dyDescent="0.3">
      <c r="A15" s="31" t="s">
        <v>202</v>
      </c>
      <c r="B15" s="41">
        <v>0</v>
      </c>
      <c r="C15" s="41">
        <v>0</v>
      </c>
      <c r="D15" s="41">
        <v>0</v>
      </c>
      <c r="E15" s="41">
        <v>0</v>
      </c>
      <c r="F15" s="41">
        <v>0</v>
      </c>
      <c r="G15" s="41">
        <v>0</v>
      </c>
      <c r="H15" s="23"/>
    </row>
    <row r="16" spans="1:8" x14ac:dyDescent="0.3">
      <c r="A16" s="35" t="s">
        <v>203</v>
      </c>
      <c r="B16" s="48">
        <f t="shared" ref="B16:G16" si="2">B14+B15</f>
        <v>5000</v>
      </c>
      <c r="C16" s="48">
        <f t="shared" si="2"/>
        <v>8000</v>
      </c>
      <c r="D16" s="48">
        <f t="shared" si="2"/>
        <v>0</v>
      </c>
      <c r="E16" s="48">
        <f t="shared" si="2"/>
        <v>0</v>
      </c>
      <c r="F16" s="48">
        <f t="shared" si="2"/>
        <v>0</v>
      </c>
      <c r="G16" s="48">
        <f t="shared" si="2"/>
        <v>0</v>
      </c>
      <c r="H16" s="23"/>
    </row>
    <row r="17" spans="1:8" x14ac:dyDescent="0.3">
      <c r="A17" s="56" t="s">
        <v>204</v>
      </c>
      <c r="B17" s="51">
        <f t="shared" ref="B17:G17" si="3">B9+B12+B16</f>
        <v>4724.8</v>
      </c>
      <c r="C17" s="51">
        <f t="shared" si="3"/>
        <v>8165.4719999999998</v>
      </c>
      <c r="D17" s="51">
        <f t="shared" si="3"/>
        <v>985.15599999999995</v>
      </c>
      <c r="E17" s="51">
        <f t="shared" si="3"/>
        <v>1724.9504436000007</v>
      </c>
      <c r="F17" s="51">
        <f t="shared" si="3"/>
        <v>2938.0518002499994</v>
      </c>
      <c r="G17" s="51">
        <f t="shared" si="3"/>
        <v>4391.5133851999999</v>
      </c>
      <c r="H17" s="23"/>
    </row>
    <row r="18" spans="1:8" x14ac:dyDescent="0.3">
      <c r="A18" s="31" t="s">
        <v>205</v>
      </c>
      <c r="B18" s="64">
        <v>5000</v>
      </c>
      <c r="C18" s="64">
        <f>B17+B17</f>
        <v>9449.6</v>
      </c>
      <c r="D18" s="64">
        <f>C17+C17</f>
        <v>16330.944</v>
      </c>
      <c r="E18" s="64">
        <f>D17+D17</f>
        <v>1970.3119999999999</v>
      </c>
      <c r="F18" s="64">
        <f>E17+E17</f>
        <v>3449.9008872000013</v>
      </c>
      <c r="G18" s="64">
        <f>F17+F17</f>
        <v>5876.1036004999987</v>
      </c>
      <c r="H18" s="23" t="s">
        <v>206</v>
      </c>
    </row>
    <row r="19" spans="1:8" x14ac:dyDescent="0.3">
      <c r="A19" s="65" t="s">
        <v>207</v>
      </c>
      <c r="B19" s="66">
        <f t="shared" ref="B19:G19" si="4">B18+B17</f>
        <v>9724.7999999999993</v>
      </c>
      <c r="C19" s="66">
        <f t="shared" si="4"/>
        <v>17615.072</v>
      </c>
      <c r="D19" s="66">
        <f t="shared" si="4"/>
        <v>17316.099999999999</v>
      </c>
      <c r="E19" s="66">
        <f t="shared" si="4"/>
        <v>3695.2624436000006</v>
      </c>
      <c r="F19" s="66">
        <f t="shared" si="4"/>
        <v>6387.9526874500007</v>
      </c>
      <c r="G19" s="66">
        <f t="shared" si="4"/>
        <v>10267.616985699999</v>
      </c>
      <c r="H19" s="23"/>
    </row>
  </sheetData>
  <mergeCells count="5">
    <mergeCell ref="A1:H1"/>
    <mergeCell ref="A2:H2"/>
    <mergeCell ref="A5:H5"/>
    <mergeCell ref="A10:H10"/>
    <mergeCell ref="A13:H13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3"/>
  <sheetViews>
    <sheetView showGridLines="0" zoomScaleNormal="100" workbookViewId="0"/>
  </sheetViews>
  <sheetFormatPr defaultColWidth="8.6640625" defaultRowHeight="14.4" x14ac:dyDescent="0.3"/>
  <cols>
    <col min="1" max="1" width="30" customWidth="1"/>
    <col min="2" max="7" width="16" customWidth="1"/>
  </cols>
  <sheetData>
    <row r="1" spans="1:7" ht="31.5" customHeight="1" x14ac:dyDescent="0.3">
      <c r="A1" s="2" t="s">
        <v>208</v>
      </c>
      <c r="B1" s="2"/>
      <c r="C1" s="2"/>
      <c r="D1" s="2"/>
      <c r="E1" s="2"/>
      <c r="F1" s="2"/>
      <c r="G1" s="2"/>
    </row>
    <row r="2" spans="1:7" x14ac:dyDescent="0.3">
      <c r="A2" s="1" t="s">
        <v>209</v>
      </c>
      <c r="B2" s="1"/>
      <c r="C2" s="1"/>
      <c r="D2" s="1"/>
      <c r="E2" s="1"/>
      <c r="F2" s="1"/>
      <c r="G2" s="1"/>
    </row>
    <row r="4" spans="1:7" x14ac:dyDescent="0.3">
      <c r="A4" s="19" t="s">
        <v>210</v>
      </c>
      <c r="B4" s="20" t="s">
        <v>27</v>
      </c>
      <c r="C4" s="20" t="s">
        <v>28</v>
      </c>
      <c r="D4" s="20" t="s">
        <v>29</v>
      </c>
      <c r="E4" s="20" t="s">
        <v>30</v>
      </c>
      <c r="F4" s="20" t="s">
        <v>31</v>
      </c>
      <c r="G4" s="20" t="s">
        <v>32</v>
      </c>
    </row>
    <row r="5" spans="1:7" x14ac:dyDescent="0.3">
      <c r="A5" s="3" t="s">
        <v>211</v>
      </c>
      <c r="B5" s="3"/>
      <c r="C5" s="3"/>
      <c r="D5" s="3"/>
      <c r="E5" s="3"/>
      <c r="F5" s="3"/>
      <c r="G5" s="3"/>
    </row>
    <row r="6" spans="1:7" x14ac:dyDescent="0.3">
      <c r="A6" s="67" t="s">
        <v>212</v>
      </c>
      <c r="B6" s="68">
        <f>'Revenue Model'!B17</f>
        <v>2880</v>
      </c>
      <c r="C6" s="68">
        <f>'Revenue Model'!C17</f>
        <v>4488</v>
      </c>
      <c r="D6" s="68">
        <f>'Revenue Model'!D17</f>
        <v>6854.4</v>
      </c>
      <c r="E6" s="68">
        <f>'Revenue Model'!E17</f>
        <v>9684.36</v>
      </c>
      <c r="F6" s="68">
        <f>'Revenue Model'!F17</f>
        <v>12724.035</v>
      </c>
      <c r="G6" s="68">
        <f>'Revenue Model'!G17</f>
        <v>15694.89</v>
      </c>
    </row>
    <row r="7" spans="1:7" x14ac:dyDescent="0.3">
      <c r="A7" s="31" t="s">
        <v>101</v>
      </c>
      <c r="B7" s="53" t="s">
        <v>102</v>
      </c>
      <c r="C7" s="53">
        <f>('Revenue Model'!C17-'Revenue Model'!B17)/'Revenue Model'!B17</f>
        <v>0.55833333333333335</v>
      </c>
      <c r="D7" s="53">
        <f>('Revenue Model'!D17-'Revenue Model'!C17)/'Revenue Model'!C17</f>
        <v>0.52727272727272723</v>
      </c>
      <c r="E7" s="53">
        <f>('Revenue Model'!E17-'Revenue Model'!D17)/'Revenue Model'!D17</f>
        <v>0.41286764705882367</v>
      </c>
      <c r="F7" s="53">
        <f>('Revenue Model'!F17-'Revenue Model'!E17)/'Revenue Model'!E17</f>
        <v>0.31387463910883107</v>
      </c>
      <c r="G7" s="53">
        <f>('Revenue Model'!G17-'Revenue Model'!F17)/'Revenue Model'!F17</f>
        <v>0.2334837180186945</v>
      </c>
    </row>
    <row r="8" spans="1:7" x14ac:dyDescent="0.3">
      <c r="A8" s="67" t="s">
        <v>99</v>
      </c>
      <c r="B8" s="68">
        <f>'Revenue Model'!B17</f>
        <v>2880</v>
      </c>
      <c r="C8" s="68">
        <f>'Revenue Model'!C17</f>
        <v>4488</v>
      </c>
      <c r="D8" s="68">
        <f>'Revenue Model'!D17</f>
        <v>6854.4</v>
      </c>
      <c r="E8" s="68">
        <f>'Revenue Model'!E17</f>
        <v>9684.36</v>
      </c>
      <c r="F8" s="68">
        <f>'Revenue Model'!F17</f>
        <v>12724.035</v>
      </c>
      <c r="G8" s="68">
        <f>'Revenue Model'!G17</f>
        <v>15694.89</v>
      </c>
    </row>
    <row r="9" spans="1:7" x14ac:dyDescent="0.3">
      <c r="A9" s="31" t="s">
        <v>97</v>
      </c>
      <c r="B9" s="69">
        <f>'Revenue Model'!B18</f>
        <v>458</v>
      </c>
      <c r="C9" s="69">
        <f>'Revenue Model'!C18</f>
        <v>700</v>
      </c>
      <c r="D9" s="69">
        <f>'Revenue Model'!D18</f>
        <v>1003</v>
      </c>
      <c r="E9" s="69">
        <f>'Revenue Model'!E18</f>
        <v>1335</v>
      </c>
      <c r="F9" s="69">
        <f>'Revenue Model'!F18</f>
        <v>1645</v>
      </c>
      <c r="G9" s="69">
        <f>'Revenue Model'!G18</f>
        <v>1920</v>
      </c>
    </row>
    <row r="10" spans="1:7" x14ac:dyDescent="0.3">
      <c r="A10" s="3" t="s">
        <v>213</v>
      </c>
      <c r="B10" s="3"/>
      <c r="C10" s="3"/>
      <c r="D10" s="3"/>
      <c r="E10" s="3"/>
      <c r="F10" s="3"/>
      <c r="G10" s="3"/>
    </row>
    <row r="11" spans="1:7" x14ac:dyDescent="0.3">
      <c r="A11" s="31" t="s">
        <v>214</v>
      </c>
      <c r="B11" s="52">
        <f>'P&amp;L'!B11</f>
        <v>2188.8000000000002</v>
      </c>
      <c r="C11" s="52">
        <f>'P&amp;L'!C11</f>
        <v>3523.08</v>
      </c>
      <c r="D11" s="52">
        <f>'P&amp;L'!D11</f>
        <v>5483.5199999999995</v>
      </c>
      <c r="E11" s="52">
        <f>'P&amp;L'!E11</f>
        <v>7892.7534000000005</v>
      </c>
      <c r="F11" s="52">
        <f>'P&amp;L'!F11</f>
        <v>10560.949049999999</v>
      </c>
      <c r="G11" s="52">
        <f>'P&amp;L'!G11</f>
        <v>13215.097379999999</v>
      </c>
    </row>
    <row r="12" spans="1:7" x14ac:dyDescent="0.3">
      <c r="A12" s="67" t="s">
        <v>151</v>
      </c>
      <c r="B12" s="70">
        <f>'P&amp;L'!B12</f>
        <v>0.76</v>
      </c>
      <c r="C12" s="70">
        <f>'P&amp;L'!C12</f>
        <v>0.78500000000000003</v>
      </c>
      <c r="D12" s="70">
        <f>'P&amp;L'!D12</f>
        <v>0.79999999999999993</v>
      </c>
      <c r="E12" s="70">
        <f>'P&amp;L'!E12</f>
        <v>0.81500000000000006</v>
      </c>
      <c r="F12" s="70">
        <f>'P&amp;L'!F12</f>
        <v>0.83</v>
      </c>
      <c r="G12" s="70">
        <f>'P&amp;L'!G12</f>
        <v>0.84199999999999997</v>
      </c>
    </row>
    <row r="13" spans="1:7" x14ac:dyDescent="0.3">
      <c r="A13" s="31" t="s">
        <v>215</v>
      </c>
      <c r="B13" s="52">
        <f>'P&amp;L'!B18</f>
        <v>-230.39999999999964</v>
      </c>
      <c r="C13" s="52">
        <f>'P&amp;L'!C18</f>
        <v>201.95999999999958</v>
      </c>
      <c r="D13" s="52">
        <f>'P&amp;L'!D18</f>
        <v>1028.1599999999999</v>
      </c>
      <c r="E13" s="52">
        <f>'P&amp;L'!E18</f>
        <v>2275.8246000000008</v>
      </c>
      <c r="F13" s="52">
        <f>'P&amp;L'!F18</f>
        <v>3817.2104999999992</v>
      </c>
      <c r="G13" s="52">
        <f>'P&amp;L'!G18</f>
        <v>5603.0757299999996</v>
      </c>
    </row>
    <row r="14" spans="1:7" x14ac:dyDescent="0.3">
      <c r="A14" s="67" t="s">
        <v>216</v>
      </c>
      <c r="B14" s="70">
        <f>'P&amp;L'!B19</f>
        <v>-7.9999999999999877E-2</v>
      </c>
      <c r="C14" s="70">
        <f>'P&amp;L'!C19</f>
        <v>4.4999999999999908E-2</v>
      </c>
      <c r="D14" s="70">
        <f>'P&amp;L'!D19</f>
        <v>0.15</v>
      </c>
      <c r="E14" s="70">
        <f>'P&amp;L'!E19</f>
        <v>0.23500000000000007</v>
      </c>
      <c r="F14" s="70">
        <f>'P&amp;L'!F19</f>
        <v>0.29999999999999993</v>
      </c>
      <c r="G14" s="70">
        <f>'P&amp;L'!G19</f>
        <v>0.35699999999999998</v>
      </c>
    </row>
    <row r="15" spans="1:7" x14ac:dyDescent="0.3">
      <c r="A15" s="31" t="s">
        <v>217</v>
      </c>
      <c r="B15" s="52">
        <f>'P&amp;L'!B25</f>
        <v>-237.99999999999966</v>
      </c>
      <c r="C15" s="52">
        <f>'P&amp;L'!C25</f>
        <v>192.19999999999959</v>
      </c>
      <c r="D15" s="52">
        <f>'P&amp;L'!D25</f>
        <v>1004.7807999999999</v>
      </c>
      <c r="E15" s="52">
        <f>'P&amp;L'!E25</f>
        <v>1770.2911236000007</v>
      </c>
      <c r="F15" s="52">
        <f>'P&amp;L'!F25</f>
        <v>2983.3164802499996</v>
      </c>
      <c r="G15" s="52">
        <f>'P&amp;L'!G25</f>
        <v>4398.4453801999998</v>
      </c>
    </row>
    <row r="16" spans="1:7" x14ac:dyDescent="0.3">
      <c r="A16" s="3" t="s">
        <v>218</v>
      </c>
      <c r="B16" s="3"/>
      <c r="C16" s="3"/>
      <c r="D16" s="3"/>
      <c r="E16" s="3"/>
      <c r="F16" s="3"/>
      <c r="G16" s="3"/>
    </row>
    <row r="17" spans="1:7" x14ac:dyDescent="0.3">
      <c r="A17" s="31" t="s">
        <v>219</v>
      </c>
      <c r="B17" s="52">
        <f>'Unit Economics'!B5</f>
        <v>4200</v>
      </c>
      <c r="C17" s="52">
        <f>'Unit Economics'!C5</f>
        <v>3900</v>
      </c>
      <c r="D17" s="52">
        <f>'Unit Economics'!D5</f>
        <v>3600</v>
      </c>
      <c r="E17" s="52">
        <f>'Unit Economics'!E5</f>
        <v>3300</v>
      </c>
      <c r="F17" s="52">
        <f>'Unit Economics'!F5</f>
        <v>3100</v>
      </c>
      <c r="G17" s="52">
        <f>'Unit Economics'!G5</f>
        <v>2900</v>
      </c>
    </row>
    <row r="18" spans="1:7" x14ac:dyDescent="0.3">
      <c r="A18" s="67" t="s">
        <v>156</v>
      </c>
      <c r="B18" s="68">
        <f>'Unit Economics'!B13</f>
        <v>26550.218340611355</v>
      </c>
      <c r="C18" s="68">
        <f>'Unit Economics'!C13</f>
        <v>31456.071428571431</v>
      </c>
      <c r="D18" s="68">
        <f>'Unit Economics'!D13</f>
        <v>39050.847457627111</v>
      </c>
      <c r="E18" s="68">
        <f>'Unit Economics'!E13</f>
        <v>49268.123595505625</v>
      </c>
      <c r="F18" s="68">
        <f>'Unit Economics'!F13</f>
        <v>58363.907432992542</v>
      </c>
      <c r="G18" s="68">
        <f>'Unit Economics'!G13</f>
        <v>68828.632187499999</v>
      </c>
    </row>
    <row r="19" spans="1:7" x14ac:dyDescent="0.3">
      <c r="A19" s="31" t="s">
        <v>220</v>
      </c>
      <c r="B19" s="55">
        <f>'Unit Economics'!B15</f>
        <v>6.3214805572884174</v>
      </c>
      <c r="C19" s="55">
        <f>'Unit Economics'!C15</f>
        <v>8.0656593406593409</v>
      </c>
      <c r="D19" s="55">
        <f>'Unit Economics'!D15</f>
        <v>10.847457627118642</v>
      </c>
      <c r="E19" s="55">
        <f>'Unit Economics'!E15</f>
        <v>14.929734422880493</v>
      </c>
      <c r="F19" s="55">
        <f>'Unit Economics'!F15</f>
        <v>18.827066913868563</v>
      </c>
      <c r="G19" s="55">
        <f>'Unit Economics'!G15</f>
        <v>23.734011099137931</v>
      </c>
    </row>
    <row r="20" spans="1:7" x14ac:dyDescent="0.3">
      <c r="A20" s="67" t="s">
        <v>221</v>
      </c>
      <c r="B20" s="71">
        <f>'Unit Economics'!B16</f>
        <v>10.546052631578947</v>
      </c>
      <c r="C20" s="71">
        <f>'Unit Economics'!C16</f>
        <v>9.2986818352123706</v>
      </c>
      <c r="D20" s="71">
        <f>'Unit Economics'!D16</f>
        <v>7.9017857142857162</v>
      </c>
      <c r="E20" s="71">
        <f>'Unit Economics'!E16</f>
        <v>6.698042789478257</v>
      </c>
      <c r="F20" s="71">
        <f>'Unit Economics'!F16</f>
        <v>5.7943656114882973</v>
      </c>
      <c r="G20" s="71">
        <f>'Unit Economics'!G16</f>
        <v>5.0560353873079062</v>
      </c>
    </row>
    <row r="21" spans="1:7" x14ac:dyDescent="0.3">
      <c r="A21" s="3" t="s">
        <v>222</v>
      </c>
      <c r="B21" s="3"/>
      <c r="C21" s="3"/>
      <c r="D21" s="3"/>
      <c r="E21" s="3"/>
      <c r="F21" s="3"/>
      <c r="G21" s="3"/>
    </row>
    <row r="22" spans="1:7" x14ac:dyDescent="0.3">
      <c r="A22" s="67" t="s">
        <v>223</v>
      </c>
      <c r="B22" s="68">
        <f>'Cash Flow'!B9</f>
        <v>-188.79999999999967</v>
      </c>
      <c r="C22" s="68">
        <f>'Cash Flow'!C9</f>
        <v>277.67199999999957</v>
      </c>
      <c r="D22" s="68">
        <f>'Cash Flow'!D9</f>
        <v>1122.2439999999999</v>
      </c>
      <c r="E22" s="68">
        <f>'Cash Flow'!E9</f>
        <v>1918.6376436000007</v>
      </c>
      <c r="F22" s="68">
        <f>'Cash Flow'!F9</f>
        <v>3167.0844302499995</v>
      </c>
      <c r="G22" s="68">
        <f>'Cash Flow'!G9</f>
        <v>4626.9367351999999</v>
      </c>
    </row>
    <row r="23" spans="1:7" x14ac:dyDescent="0.3">
      <c r="A23" s="31" t="s">
        <v>224</v>
      </c>
      <c r="B23" s="52">
        <f>'Cash Flow'!B19</f>
        <v>9724.7999999999993</v>
      </c>
      <c r="C23" s="52">
        <f>'Cash Flow'!C19</f>
        <v>17615.072</v>
      </c>
      <c r="D23" s="52">
        <f>'Cash Flow'!D19</f>
        <v>17316.099999999999</v>
      </c>
      <c r="E23" s="52">
        <f>'Cash Flow'!E19</f>
        <v>3695.2624436000006</v>
      </c>
      <c r="F23" s="52">
        <f>'Cash Flow'!F19</f>
        <v>6387.9526874500007</v>
      </c>
      <c r="G23" s="52">
        <f>'Cash Flow'!G19</f>
        <v>10267.616985699999</v>
      </c>
    </row>
  </sheetData>
  <mergeCells count="6">
    <mergeCell ref="A21:G21"/>
    <mergeCell ref="A1:G1"/>
    <mergeCell ref="A2:G2"/>
    <mergeCell ref="A5:G5"/>
    <mergeCell ref="A10:G10"/>
    <mergeCell ref="A16:G16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2"/>
  <sheetViews>
    <sheetView showGridLines="0" zoomScaleNormal="100" workbookViewId="0"/>
  </sheetViews>
  <sheetFormatPr defaultColWidth="8.6640625" defaultRowHeight="14.4" x14ac:dyDescent="0.3"/>
  <cols>
    <col min="1" max="1" width="30" customWidth="1"/>
    <col min="2" max="7" width="16" customWidth="1"/>
    <col min="8" max="8" width="22" customWidth="1"/>
  </cols>
  <sheetData>
    <row r="1" spans="1:7" ht="27.75" customHeight="1" x14ac:dyDescent="0.3">
      <c r="A1" s="5" t="s">
        <v>225</v>
      </c>
      <c r="B1" s="5"/>
      <c r="C1" s="5"/>
      <c r="D1" s="5"/>
      <c r="E1" s="5"/>
      <c r="F1" s="5"/>
      <c r="G1" s="5"/>
    </row>
    <row r="2" spans="1:7" x14ac:dyDescent="0.3">
      <c r="A2" s="4" t="s">
        <v>226</v>
      </c>
      <c r="B2" s="4"/>
      <c r="C2" s="4"/>
      <c r="D2" s="4"/>
      <c r="E2" s="4"/>
      <c r="F2" s="4"/>
      <c r="G2" s="4"/>
    </row>
    <row r="4" spans="1:7" x14ac:dyDescent="0.3">
      <c r="A4" s="20" t="s">
        <v>82</v>
      </c>
      <c r="B4" s="72" t="s">
        <v>227</v>
      </c>
      <c r="C4" s="73" t="s">
        <v>228</v>
      </c>
      <c r="D4" s="74" t="s">
        <v>229</v>
      </c>
      <c r="E4" s="72" t="s">
        <v>230</v>
      </c>
      <c r="F4" s="74" t="s">
        <v>231</v>
      </c>
    </row>
    <row r="5" spans="1:7" x14ac:dyDescent="0.3">
      <c r="A5" s="31" t="s">
        <v>232</v>
      </c>
      <c r="B5" s="52">
        <f>'Revenue Model'!G17</f>
        <v>15694.89</v>
      </c>
      <c r="C5" s="75">
        <f>B5*1.2</f>
        <v>18833.867999999999</v>
      </c>
      <c r="D5" s="76">
        <f>B5*0.8</f>
        <v>12555.912</v>
      </c>
      <c r="E5" s="77">
        <f t="shared" ref="E5:E12" si="0">C5-B5</f>
        <v>3138.9779999999992</v>
      </c>
      <c r="F5" s="78">
        <f t="shared" ref="F5:F12" si="1">D5-B5</f>
        <v>-3138.9779999999992</v>
      </c>
    </row>
    <row r="6" spans="1:7" x14ac:dyDescent="0.3">
      <c r="A6" s="21" t="s">
        <v>151</v>
      </c>
      <c r="B6" s="38">
        <f>'P&amp;L'!G12</f>
        <v>0.84199999999999997</v>
      </c>
      <c r="C6" s="79">
        <f>MIN(B6*1.05,1)</f>
        <v>0.8841</v>
      </c>
      <c r="D6" s="80">
        <f>B6*0.95</f>
        <v>0.79989999999999994</v>
      </c>
      <c r="E6" s="81">
        <f t="shared" si="0"/>
        <v>4.2100000000000026E-2</v>
      </c>
      <c r="F6" s="82">
        <f t="shared" si="1"/>
        <v>-4.2100000000000026E-2</v>
      </c>
    </row>
    <row r="7" spans="1:7" x14ac:dyDescent="0.3">
      <c r="A7" s="31" t="s">
        <v>215</v>
      </c>
      <c r="B7" s="52">
        <f>'P&amp;L'!G18</f>
        <v>5603.0757299999996</v>
      </c>
      <c r="C7" s="75">
        <f>B7*1.2</f>
        <v>6723.6908759999997</v>
      </c>
      <c r="D7" s="76">
        <f>B7*0.8</f>
        <v>4482.4605839999995</v>
      </c>
      <c r="E7" s="77">
        <f t="shared" si="0"/>
        <v>1120.6151460000001</v>
      </c>
      <c r="F7" s="78">
        <f t="shared" si="1"/>
        <v>-1120.6151460000001</v>
      </c>
    </row>
    <row r="8" spans="1:7" x14ac:dyDescent="0.3">
      <c r="A8" s="21" t="s">
        <v>216</v>
      </c>
      <c r="B8" s="38">
        <f>'P&amp;L'!G19</f>
        <v>0.35699999999999998</v>
      </c>
      <c r="C8" s="79">
        <f>MIN(B8*1.05,1)</f>
        <v>0.37485000000000002</v>
      </c>
      <c r="D8" s="80">
        <f>B8*0.95</f>
        <v>0.33914999999999995</v>
      </c>
      <c r="E8" s="81">
        <f t="shared" si="0"/>
        <v>1.7850000000000033E-2</v>
      </c>
      <c r="F8" s="82">
        <f t="shared" si="1"/>
        <v>-1.7850000000000033E-2</v>
      </c>
    </row>
    <row r="9" spans="1:7" x14ac:dyDescent="0.3">
      <c r="A9" s="31" t="s">
        <v>217</v>
      </c>
      <c r="B9" s="52">
        <f>'P&amp;L'!G25</f>
        <v>4398.4453801999998</v>
      </c>
      <c r="C9" s="75">
        <f>B9*1.2</f>
        <v>5278.13445624</v>
      </c>
      <c r="D9" s="76">
        <f>B9*0.8</f>
        <v>3518.7563041600001</v>
      </c>
      <c r="E9" s="77">
        <f t="shared" si="0"/>
        <v>879.68907604000015</v>
      </c>
      <c r="F9" s="78">
        <f t="shared" si="1"/>
        <v>-879.68907603999969</v>
      </c>
    </row>
    <row r="10" spans="1:7" x14ac:dyDescent="0.3">
      <c r="A10" s="21" t="s">
        <v>97</v>
      </c>
      <c r="B10" s="37">
        <f>'Revenue Model'!G18</f>
        <v>1920</v>
      </c>
      <c r="C10" s="83">
        <f>B10*1.2</f>
        <v>2304</v>
      </c>
      <c r="D10" s="84">
        <f>B10*0.8</f>
        <v>1536</v>
      </c>
      <c r="E10" s="85">
        <f t="shared" si="0"/>
        <v>384</v>
      </c>
      <c r="F10" s="86">
        <f t="shared" si="1"/>
        <v>-384</v>
      </c>
    </row>
    <row r="11" spans="1:7" x14ac:dyDescent="0.3">
      <c r="A11" s="31" t="s">
        <v>220</v>
      </c>
      <c r="B11" s="55">
        <f>'Unit Economics'!G15</f>
        <v>23.734011099137931</v>
      </c>
      <c r="C11" s="87">
        <f>B11*1.2</f>
        <v>28.480813318965517</v>
      </c>
      <c r="D11" s="88">
        <f>B11*0.8</f>
        <v>18.987208879310344</v>
      </c>
      <c r="E11" s="89">
        <f t="shared" si="0"/>
        <v>4.7468022198275861</v>
      </c>
      <c r="F11" s="90">
        <f t="shared" si="1"/>
        <v>-4.7468022198275861</v>
      </c>
    </row>
    <row r="12" spans="1:7" x14ac:dyDescent="0.3">
      <c r="A12" s="21" t="s">
        <v>224</v>
      </c>
      <c r="B12" s="34">
        <f>'Cash Flow'!G19</f>
        <v>10267.616985699999</v>
      </c>
      <c r="C12" s="75">
        <f>B12*1.2</f>
        <v>12321.140382839998</v>
      </c>
      <c r="D12" s="76">
        <f>B12*0.8</f>
        <v>8214.0935885599993</v>
      </c>
      <c r="E12" s="91">
        <f t="shared" si="0"/>
        <v>2053.5233971399994</v>
      </c>
      <c r="F12" s="92">
        <f t="shared" si="1"/>
        <v>-2053.5233971399994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Assumptions</vt:lpstr>
      <vt:lpstr>Revenue Model</vt:lpstr>
      <vt:lpstr>P&amp;L</vt:lpstr>
      <vt:lpstr>Unit Economics</vt:lpstr>
      <vt:lpstr>Headcount</vt:lpstr>
      <vt:lpstr>Cash Flow</vt:lpstr>
      <vt:lpstr>KPI Dashboard</vt:lpstr>
      <vt:lpstr>Scenario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Megha Dalmia</cp:lastModifiedBy>
  <cp:revision>0</cp:revision>
  <dcterms:created xsi:type="dcterms:W3CDTF">2026-04-17T18:38:13Z</dcterms:created>
  <dcterms:modified xsi:type="dcterms:W3CDTF">2026-04-17T18:40:37Z</dcterms:modified>
  <dc:language>en-US</dc:language>
</cp:coreProperties>
</file>